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 (Victron Energy)\West &amp; Central Africa\Internal\Webinaires\220414 Etude de cas - résidentiel\"/>
    </mc:Choice>
  </mc:AlternateContent>
  <xr:revisionPtr revIDLastSave="0" documentId="13_ncr:1_{9AFC6F62-4299-47FC-B967-095D7E534F64}" xr6:coauthVersionLast="36" xr6:coauthVersionMax="36" xr10:uidLastSave="{00000000-0000-0000-0000-000000000000}"/>
  <bookViews>
    <workbookView xWindow="0" yWindow="0" windowWidth="7475" windowHeight="2671" activeTab="1" xr2:uid="{00000000-000D-0000-FFFF-FFFF00000000}"/>
  </bookViews>
  <sheets>
    <sheet name="Envoyé" sheetId="1" r:id="rId1"/>
    <sheet name="Reçu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G13" i="2"/>
  <c r="G14" i="2"/>
  <c r="K11" i="2"/>
  <c r="G11" i="2"/>
  <c r="F11" i="2"/>
  <c r="J11" i="2" s="1"/>
  <c r="N9" i="2" s="1"/>
  <c r="F14" i="2" l="1"/>
  <c r="K14" i="2" s="1"/>
  <c r="F6" i="1"/>
  <c r="J6" i="1" s="1"/>
  <c r="G6" i="1"/>
  <c r="F7" i="1"/>
  <c r="J7" i="1" s="1"/>
  <c r="G7" i="1"/>
  <c r="F8" i="1"/>
  <c r="J8" i="1" s="1"/>
  <c r="G8" i="1"/>
  <c r="F9" i="1"/>
  <c r="J9" i="1" s="1"/>
  <c r="G9" i="1"/>
  <c r="F10" i="1"/>
  <c r="J10" i="1" s="1"/>
  <c r="G10" i="1"/>
  <c r="F11" i="1"/>
  <c r="J11" i="1" s="1"/>
  <c r="G11" i="1"/>
  <c r="K11" i="1"/>
  <c r="F12" i="1"/>
  <c r="J12" i="1" s="1"/>
  <c r="G12" i="1"/>
  <c r="F13" i="1"/>
  <c r="J13" i="1" s="1"/>
  <c r="G13" i="1"/>
  <c r="F14" i="1"/>
  <c r="J14" i="1" s="1"/>
  <c r="G14" i="1"/>
  <c r="F15" i="1"/>
  <c r="J15" i="1" s="1"/>
  <c r="G15" i="1"/>
  <c r="K15" i="1"/>
  <c r="G17" i="2"/>
  <c r="F17" i="2"/>
  <c r="J17" i="2" s="1"/>
  <c r="G16" i="2"/>
  <c r="F16" i="2"/>
  <c r="K16" i="2" s="1"/>
  <c r="F15" i="2"/>
  <c r="J15" i="2" s="1"/>
  <c r="F13" i="2"/>
  <c r="K13" i="2" s="1"/>
  <c r="G12" i="2"/>
  <c r="F12" i="2"/>
  <c r="J12" i="2" s="1"/>
  <c r="G10" i="2"/>
  <c r="F10" i="2"/>
  <c r="K10" i="2" s="1"/>
  <c r="G9" i="2"/>
  <c r="F9" i="2"/>
  <c r="J9" i="2" s="1"/>
  <c r="G8" i="2"/>
  <c r="F8" i="2"/>
  <c r="K8" i="2" s="1"/>
  <c r="G7" i="2"/>
  <c r="F7" i="2"/>
  <c r="J7" i="2" s="1"/>
  <c r="G6" i="2"/>
  <c r="F6" i="2"/>
  <c r="K6" i="2" s="1"/>
  <c r="K12" i="2" l="1"/>
  <c r="N8" i="2"/>
  <c r="K9" i="2"/>
  <c r="K17" i="2"/>
  <c r="K15" i="2"/>
  <c r="N11" i="2" s="1"/>
  <c r="K7" i="2"/>
  <c r="K18" i="2" s="1"/>
  <c r="J14" i="2"/>
  <c r="G18" i="2"/>
  <c r="G22" i="2" s="1"/>
  <c r="K13" i="1"/>
  <c r="K9" i="1"/>
  <c r="K7" i="1"/>
  <c r="K14" i="1"/>
  <c r="K12" i="1"/>
  <c r="K10" i="1"/>
  <c r="K8" i="1"/>
  <c r="K6" i="1"/>
  <c r="F18" i="2"/>
  <c r="F22" i="2" s="1"/>
  <c r="J8" i="2"/>
  <c r="J13" i="2"/>
  <c r="J16" i="2"/>
  <c r="J6" i="2"/>
  <c r="J10" i="2"/>
  <c r="N7" i="2" s="1"/>
  <c r="J18" i="2" l="1"/>
  <c r="J19" i="2" s="1"/>
  <c r="O9" i="2" s="1"/>
  <c r="N10" i="2"/>
  <c r="N6" i="2"/>
  <c r="K16" i="1"/>
  <c r="G16" i="1"/>
  <c r="F16" i="1"/>
  <c r="J16" i="1"/>
  <c r="J17" i="1" l="1"/>
  <c r="K18" i="1" s="1"/>
  <c r="J18" i="1"/>
  <c r="K20" i="2"/>
  <c r="O6" i="2"/>
  <c r="O7" i="2"/>
  <c r="O10" i="2"/>
  <c r="O11" i="2"/>
  <c r="O8" i="2"/>
  <c r="J20" i="2"/>
  <c r="F20" i="1"/>
  <c r="G20" i="1" l="1"/>
</calcChain>
</file>

<file path=xl/sharedStrings.xml><?xml version="1.0" encoding="utf-8"?>
<sst xmlns="http://schemas.openxmlformats.org/spreadsheetml/2006/main" count="68" uniqueCount="36">
  <si>
    <t>Unités :</t>
  </si>
  <si>
    <t>Watts</t>
  </si>
  <si>
    <t>Puissance de pointe</t>
  </si>
  <si>
    <t>Quantités</t>
  </si>
  <si>
    <t>Total :</t>
  </si>
  <si>
    <t>Watt-heures</t>
  </si>
  <si>
    <t>Puissance continue</t>
  </si>
  <si>
    <t>Puissance continue totale</t>
  </si>
  <si>
    <t>Coefficient de simultanéité :</t>
  </si>
  <si>
    <t>heures</t>
  </si>
  <si>
    <t>Puissance de pointe  totale</t>
  </si>
  <si>
    <t>Bilan de puissance</t>
  </si>
  <si>
    <t>#</t>
  </si>
  <si>
    <t>Puissance continue minimum du convertisseur</t>
  </si>
  <si>
    <t>Puissance de pointe minimum du convertisseur</t>
  </si>
  <si>
    <t>Appareils à alimenter</t>
  </si>
  <si>
    <t>Lumières intérieures</t>
  </si>
  <si>
    <t>Lumières extérieures</t>
  </si>
  <si>
    <t>Modem internet</t>
  </si>
  <si>
    <t>Canalsat</t>
  </si>
  <si>
    <t>Chauffe-eau</t>
  </si>
  <si>
    <t>Consommation de jour</t>
  </si>
  <si>
    <t>Consommation de nuit</t>
  </si>
  <si>
    <t>Durée de fonctionnement Jour (10h)</t>
  </si>
  <si>
    <t>Durée de fonctionnement Nuit (14h)</t>
  </si>
  <si>
    <t>Eclairage</t>
  </si>
  <si>
    <t>Divertissement</t>
  </si>
  <si>
    <t>Ventilation</t>
  </si>
  <si>
    <t>Climatisation</t>
  </si>
  <si>
    <t>Eau chaude</t>
  </si>
  <si>
    <t>Réfrigérateur</t>
  </si>
  <si>
    <t>Ventilateur sur pied</t>
  </si>
  <si>
    <t>TV LED 43''</t>
  </si>
  <si>
    <t>Refrigérateur inverter</t>
  </si>
  <si>
    <t>Climatiseur salon inverter</t>
  </si>
  <si>
    <t>Climatiseur chambre inverter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</si>
</sst>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0" fillId="0" borderId="1" xfId="1" applyFont="1" applyFill="1" applyBorder="1" applyAlignment="1">
      <alignment horizontal="center" vertical="center"/>
    </xf>
    <xf numFmtId="9" fontId="0" fillId="0" borderId="0" xfId="1" applyFont="1" applyAlignment="1">
      <alignment vertical="center"/>
    </xf>
    <xf numFmtId="9" fontId="0" fillId="0" borderId="0" xfId="1" applyFont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2" fillId="7" borderId="1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2" fillId="7" borderId="2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3" fontId="2" fillId="7" borderId="4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Répartition des consommations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B27-46E4-9AC3-1E527A3D2D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27-46E4-9AC3-1E527A3D2D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B27-46E4-9AC3-1E527A3D2D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66-4D37-B5FD-2B88959116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27-46E4-9AC3-1E527A3D2D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89A-4AA0-92E1-BC086EE7A493}"/>
              </c:ext>
            </c:extLst>
          </c:dPt>
          <c:dLbls>
            <c:dLbl>
              <c:idx val="0"/>
              <c:layout>
                <c:manualLayout>
                  <c:x val="-2.2462002169277621E-2"/>
                  <c:y val="3.384248078634630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27-46E4-9AC3-1E527A3D2DBF}"/>
                </c:ext>
              </c:extLst>
            </c:dLbl>
            <c:dLbl>
              <c:idx val="1"/>
              <c:layout>
                <c:manualLayout>
                  <c:x val="-1.33397096766864E-2"/>
                  <c:y val="1.666776027996500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27-46E4-9AC3-1E527A3D2DBF}"/>
                </c:ext>
              </c:extLst>
            </c:dLbl>
            <c:dLbl>
              <c:idx val="2"/>
              <c:layout>
                <c:manualLayout>
                  <c:x val="-9.1441382327210122E-3"/>
                  <c:y val="3.271689997083698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27-46E4-9AC3-1E527A3D2DBF}"/>
                </c:ext>
              </c:extLst>
            </c:dLbl>
            <c:dLbl>
              <c:idx val="5"/>
              <c:layout>
                <c:manualLayout>
                  <c:x val="3.0071671889621777E-2"/>
                  <c:y val="2.394211140274130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9A-4AA0-92E1-BC086EE7A49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Reçu!$M$6:$M$11</c:f>
              <c:strCache>
                <c:ptCount val="6"/>
                <c:pt idx="0">
                  <c:v>Eclairage</c:v>
                </c:pt>
                <c:pt idx="1">
                  <c:v>Divertissement</c:v>
                </c:pt>
                <c:pt idx="2">
                  <c:v>Ventilation</c:v>
                </c:pt>
                <c:pt idx="3">
                  <c:v>Réfrigérateur</c:v>
                </c:pt>
                <c:pt idx="4">
                  <c:v>Climatisation</c:v>
                </c:pt>
                <c:pt idx="5">
                  <c:v>Eau chaude</c:v>
                </c:pt>
              </c:strCache>
            </c:strRef>
          </c:cat>
          <c:val>
            <c:numRef>
              <c:f>Reçu!$O$6:$O$11</c:f>
              <c:numCache>
                <c:formatCode>0%</c:formatCode>
                <c:ptCount val="6"/>
                <c:pt idx="0">
                  <c:v>7.8535366413381616E-2</c:v>
                </c:pt>
                <c:pt idx="1">
                  <c:v>3.3658014177163548E-2</c:v>
                </c:pt>
                <c:pt idx="2">
                  <c:v>5.5076750471722169E-2</c:v>
                </c:pt>
                <c:pt idx="3">
                  <c:v>5.5076750471722169E-2</c:v>
                </c:pt>
                <c:pt idx="4">
                  <c:v>0.57371615074710591</c:v>
                </c:pt>
                <c:pt idx="5">
                  <c:v>0.20393696771890457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7-46E4-9AC3-1E527A3D2DB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587310</xdr:colOff>
      <xdr:row>3</xdr:row>
      <xdr:rowOff>352388</xdr:rowOff>
    </xdr:from>
    <xdr:to>
      <xdr:col>16</xdr:col>
      <xdr:colOff>122884</xdr:colOff>
      <xdr:row>19</xdr:row>
      <xdr:rowOff>72285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6754C07-F7BE-4BD1-98C9-2795232BF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showGridLines="0" zoomScale="115" zoomScaleNormal="115" workbookViewId="0">
      <selection activeCell="B6" sqref="B6"/>
    </sheetView>
  </sheetViews>
  <sheetFormatPr baseColWidth="10" defaultRowHeight="15.05" x14ac:dyDescent="0.3"/>
  <cols>
    <col min="1" max="1" width="2.44140625" style="2" customWidth="1"/>
    <col min="2" max="2" width="33.109375" style="2" customWidth="1"/>
    <col min="3" max="3" width="9.5546875" style="3" customWidth="1"/>
    <col min="4" max="4" width="13.44140625" style="3" customWidth="1"/>
    <col min="5" max="6" width="13.77734375" style="3" customWidth="1"/>
    <col min="7" max="7" width="14.109375" style="3" customWidth="1"/>
    <col min="8" max="9" width="15.6640625" style="3" customWidth="1"/>
    <col min="10" max="11" width="15.6640625" style="2" customWidth="1"/>
    <col min="12" max="16384" width="11.5546875" style="2"/>
  </cols>
  <sheetData>
    <row r="2" spans="2:11" x14ac:dyDescent="0.3">
      <c r="B2" s="17" t="s">
        <v>11</v>
      </c>
    </row>
    <row r="4" spans="2:11" s="4" customFormat="1" ht="49.25" customHeight="1" x14ac:dyDescent="0.3">
      <c r="B4" s="5" t="s">
        <v>15</v>
      </c>
      <c r="C4" s="1" t="s">
        <v>3</v>
      </c>
      <c r="D4" s="1" t="s">
        <v>6</v>
      </c>
      <c r="E4" s="1" t="s">
        <v>2</v>
      </c>
      <c r="F4" s="1" t="s">
        <v>7</v>
      </c>
      <c r="G4" s="1" t="s">
        <v>10</v>
      </c>
      <c r="H4" s="1" t="s">
        <v>23</v>
      </c>
      <c r="I4" s="1" t="s">
        <v>24</v>
      </c>
      <c r="J4" s="1" t="s">
        <v>21</v>
      </c>
      <c r="K4" s="1" t="s">
        <v>22</v>
      </c>
    </row>
    <row r="5" spans="2:11" x14ac:dyDescent="0.3">
      <c r="B5" s="6" t="s">
        <v>0</v>
      </c>
      <c r="C5" s="7" t="s">
        <v>12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9</v>
      </c>
      <c r="I5" s="7" t="s">
        <v>9</v>
      </c>
      <c r="J5" s="7" t="s">
        <v>5</v>
      </c>
      <c r="K5" s="7" t="s">
        <v>5</v>
      </c>
    </row>
    <row r="6" spans="2:11" x14ac:dyDescent="0.3">
      <c r="B6" s="8"/>
      <c r="C6" s="9"/>
      <c r="D6" s="9"/>
      <c r="E6" s="9"/>
      <c r="F6" s="13">
        <f>C6*D6</f>
        <v>0</v>
      </c>
      <c r="G6" s="13">
        <f>C6*E6</f>
        <v>0</v>
      </c>
      <c r="H6" s="9"/>
      <c r="I6" s="9"/>
      <c r="J6" s="13">
        <f>F6*H6</f>
        <v>0</v>
      </c>
      <c r="K6" s="13">
        <f>F6*I6</f>
        <v>0</v>
      </c>
    </row>
    <row r="7" spans="2:11" x14ac:dyDescent="0.3">
      <c r="B7" s="8"/>
      <c r="C7" s="9"/>
      <c r="D7" s="9"/>
      <c r="E7" s="9"/>
      <c r="F7" s="13">
        <f t="shared" ref="F7:F15" si="0">C7*D7</f>
        <v>0</v>
      </c>
      <c r="G7" s="13">
        <f t="shared" ref="G7:G15" si="1">C7*E7</f>
        <v>0</v>
      </c>
      <c r="H7" s="9"/>
      <c r="I7" s="9"/>
      <c r="J7" s="13">
        <f t="shared" ref="J7:J15" si="2">F7*H7</f>
        <v>0</v>
      </c>
      <c r="K7" s="13">
        <f t="shared" ref="K7:K15" si="3">F7*I7</f>
        <v>0</v>
      </c>
    </row>
    <row r="8" spans="2:11" x14ac:dyDescent="0.3">
      <c r="B8" s="8"/>
      <c r="C8" s="9"/>
      <c r="D8" s="9"/>
      <c r="E8" s="9"/>
      <c r="F8" s="13">
        <f t="shared" si="0"/>
        <v>0</v>
      </c>
      <c r="G8" s="13">
        <f t="shared" si="1"/>
        <v>0</v>
      </c>
      <c r="H8" s="9"/>
      <c r="I8" s="9"/>
      <c r="J8" s="13">
        <f t="shared" si="2"/>
        <v>0</v>
      </c>
      <c r="K8" s="13">
        <f t="shared" si="3"/>
        <v>0</v>
      </c>
    </row>
    <row r="9" spans="2:11" x14ac:dyDescent="0.3">
      <c r="B9" s="8"/>
      <c r="C9" s="9"/>
      <c r="D9" s="9"/>
      <c r="E9" s="9"/>
      <c r="F9" s="13">
        <f t="shared" si="0"/>
        <v>0</v>
      </c>
      <c r="G9" s="13">
        <f t="shared" si="1"/>
        <v>0</v>
      </c>
      <c r="H9" s="9"/>
      <c r="I9" s="9"/>
      <c r="J9" s="13">
        <f t="shared" si="2"/>
        <v>0</v>
      </c>
      <c r="K9" s="13">
        <f t="shared" si="3"/>
        <v>0</v>
      </c>
    </row>
    <row r="10" spans="2:11" x14ac:dyDescent="0.3">
      <c r="B10" s="8"/>
      <c r="C10" s="9"/>
      <c r="D10" s="9"/>
      <c r="E10" s="9"/>
      <c r="F10" s="13">
        <f t="shared" si="0"/>
        <v>0</v>
      </c>
      <c r="G10" s="13">
        <f t="shared" si="1"/>
        <v>0</v>
      </c>
      <c r="H10" s="9"/>
      <c r="I10" s="9"/>
      <c r="J10" s="13">
        <f t="shared" si="2"/>
        <v>0</v>
      </c>
      <c r="K10" s="13">
        <f t="shared" si="3"/>
        <v>0</v>
      </c>
    </row>
    <row r="11" spans="2:11" x14ac:dyDescent="0.3">
      <c r="B11" s="8"/>
      <c r="C11" s="9"/>
      <c r="D11" s="9"/>
      <c r="E11" s="9"/>
      <c r="F11" s="13">
        <f t="shared" si="0"/>
        <v>0</v>
      </c>
      <c r="G11" s="13">
        <f t="shared" si="1"/>
        <v>0</v>
      </c>
      <c r="H11" s="9"/>
      <c r="I11" s="9"/>
      <c r="J11" s="13">
        <f t="shared" si="2"/>
        <v>0</v>
      </c>
      <c r="K11" s="13">
        <f t="shared" si="3"/>
        <v>0</v>
      </c>
    </row>
    <row r="12" spans="2:11" x14ac:dyDescent="0.3">
      <c r="B12" s="8"/>
      <c r="C12" s="9"/>
      <c r="D12" s="9"/>
      <c r="E12" s="9"/>
      <c r="F12" s="13">
        <f t="shared" si="0"/>
        <v>0</v>
      </c>
      <c r="G12" s="13">
        <f t="shared" si="1"/>
        <v>0</v>
      </c>
      <c r="H12" s="9"/>
      <c r="I12" s="9"/>
      <c r="J12" s="13">
        <f t="shared" si="2"/>
        <v>0</v>
      </c>
      <c r="K12" s="13">
        <f t="shared" si="3"/>
        <v>0</v>
      </c>
    </row>
    <row r="13" spans="2:11" x14ac:dyDescent="0.3">
      <c r="B13" s="8"/>
      <c r="C13" s="9"/>
      <c r="D13" s="9"/>
      <c r="E13" s="9"/>
      <c r="F13" s="13">
        <f t="shared" si="0"/>
        <v>0</v>
      </c>
      <c r="G13" s="13">
        <f t="shared" si="1"/>
        <v>0</v>
      </c>
      <c r="H13" s="9"/>
      <c r="I13" s="9"/>
      <c r="J13" s="13">
        <f t="shared" si="2"/>
        <v>0</v>
      </c>
      <c r="K13" s="13">
        <f t="shared" si="3"/>
        <v>0</v>
      </c>
    </row>
    <row r="14" spans="2:11" x14ac:dyDescent="0.3">
      <c r="B14" s="8"/>
      <c r="C14" s="9"/>
      <c r="D14" s="9"/>
      <c r="E14" s="9"/>
      <c r="F14" s="13">
        <f t="shared" si="0"/>
        <v>0</v>
      </c>
      <c r="G14" s="13">
        <f t="shared" si="1"/>
        <v>0</v>
      </c>
      <c r="H14" s="9"/>
      <c r="I14" s="9"/>
      <c r="J14" s="13">
        <f t="shared" si="2"/>
        <v>0</v>
      </c>
      <c r="K14" s="13">
        <f t="shared" si="3"/>
        <v>0</v>
      </c>
    </row>
    <row r="15" spans="2:11" x14ac:dyDescent="0.3">
      <c r="B15" s="8"/>
      <c r="C15" s="9"/>
      <c r="D15" s="9"/>
      <c r="E15" s="9"/>
      <c r="F15" s="13">
        <f t="shared" si="0"/>
        <v>0</v>
      </c>
      <c r="G15" s="13">
        <f t="shared" si="1"/>
        <v>0</v>
      </c>
      <c r="H15" s="9"/>
      <c r="I15" s="9"/>
      <c r="J15" s="13">
        <f t="shared" si="2"/>
        <v>0</v>
      </c>
      <c r="K15" s="13">
        <f t="shared" si="3"/>
        <v>0</v>
      </c>
    </row>
    <row r="16" spans="2:11" s="10" customFormat="1" x14ac:dyDescent="0.3">
      <c r="B16" s="11" t="s">
        <v>4</v>
      </c>
      <c r="C16" s="27"/>
      <c r="D16" s="28"/>
      <c r="E16" s="29"/>
      <c r="F16" s="14">
        <f>SUM(F6:F15)</f>
        <v>0</v>
      </c>
      <c r="G16" s="14">
        <f>SUM(G6:G15)</f>
        <v>0</v>
      </c>
      <c r="H16" s="12"/>
      <c r="I16" s="12"/>
      <c r="J16" s="15">
        <f>SUM(J6:J15)</f>
        <v>0</v>
      </c>
      <c r="K16" s="15">
        <f>SUM(K6:K15)</f>
        <v>0</v>
      </c>
    </row>
    <row r="17" spans="4:11" x14ac:dyDescent="0.3">
      <c r="J17" s="32">
        <f>J16+K16</f>
        <v>0</v>
      </c>
      <c r="K17" s="33"/>
    </row>
    <row r="18" spans="4:11" x14ac:dyDescent="0.3">
      <c r="D18" s="26" t="s">
        <v>8</v>
      </c>
      <c r="E18" s="26"/>
      <c r="F18" s="18">
        <v>0.75</v>
      </c>
      <c r="G18" s="18">
        <v>0.75</v>
      </c>
      <c r="J18" s="20" t="e">
        <f>J16/J17</f>
        <v>#DIV/0!</v>
      </c>
      <c r="K18" s="20" t="e">
        <f>K16/J17</f>
        <v>#DIV/0!</v>
      </c>
    </row>
    <row r="19" spans="4:11" ht="14.4" customHeight="1" x14ac:dyDescent="0.3"/>
    <row r="20" spans="4:11" x14ac:dyDescent="0.3">
      <c r="E20" s="11" t="s">
        <v>4</v>
      </c>
      <c r="F20" s="16">
        <f>F16*F18</f>
        <v>0</v>
      </c>
      <c r="G20" s="16">
        <f>G16*G18</f>
        <v>0</v>
      </c>
    </row>
    <row r="21" spans="4:11" x14ac:dyDescent="0.3">
      <c r="F21" s="30" t="s">
        <v>13</v>
      </c>
      <c r="G21" s="30" t="s">
        <v>14</v>
      </c>
      <c r="H21" s="2"/>
      <c r="I21" s="2"/>
    </row>
    <row r="22" spans="4:11" x14ac:dyDescent="0.3">
      <c r="F22" s="31"/>
      <c r="G22" s="31"/>
      <c r="H22" s="2"/>
      <c r="I22" s="2"/>
    </row>
    <row r="23" spans="4:11" x14ac:dyDescent="0.3">
      <c r="F23" s="31"/>
      <c r="G23" s="31"/>
      <c r="H23" s="2"/>
      <c r="I23" s="2"/>
    </row>
  </sheetData>
  <mergeCells count="5">
    <mergeCell ref="D18:E18"/>
    <mergeCell ref="C16:E16"/>
    <mergeCell ref="F21:F23"/>
    <mergeCell ref="G21:G23"/>
    <mergeCell ref="J17:K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CECA-1315-4D51-813A-481408A29C26}">
  <dimension ref="B2:O25"/>
  <sheetViews>
    <sheetView showGridLines="0" tabSelected="1" topLeftCell="A4" zoomScale="115" zoomScaleNormal="115" workbookViewId="0">
      <selection activeCell="F20" sqref="F20"/>
    </sheetView>
  </sheetViews>
  <sheetFormatPr baseColWidth="10" defaultRowHeight="15.05" x14ac:dyDescent="0.3"/>
  <cols>
    <col min="1" max="1" width="2.44140625" style="2" customWidth="1"/>
    <col min="2" max="2" width="28.5546875" style="2" customWidth="1"/>
    <col min="3" max="3" width="7.88671875" style="3" customWidth="1"/>
    <col min="4" max="4" width="10" style="3" customWidth="1"/>
    <col min="5" max="5" width="11.5546875" style="3" customWidth="1"/>
    <col min="6" max="6" width="12.6640625" style="3" customWidth="1"/>
    <col min="7" max="7" width="12.44140625" style="3" customWidth="1"/>
    <col min="8" max="9" width="13.21875" style="3" customWidth="1"/>
    <col min="10" max="11" width="13.88671875" style="2" customWidth="1"/>
    <col min="12" max="12" width="11.5546875" style="2"/>
    <col min="13" max="13" width="17.33203125" style="2" customWidth="1"/>
    <col min="14" max="16384" width="11.5546875" style="2"/>
  </cols>
  <sheetData>
    <row r="2" spans="2:15" x14ac:dyDescent="0.3">
      <c r="B2" s="17" t="s">
        <v>11</v>
      </c>
    </row>
    <row r="4" spans="2:15" s="4" customFormat="1" ht="49.25" customHeight="1" x14ac:dyDescent="0.3">
      <c r="B4" s="5" t="s">
        <v>15</v>
      </c>
      <c r="C4" s="1" t="s">
        <v>3</v>
      </c>
      <c r="D4" s="1" t="s">
        <v>6</v>
      </c>
      <c r="E4" s="1" t="s">
        <v>2</v>
      </c>
      <c r="F4" s="1" t="s">
        <v>7</v>
      </c>
      <c r="G4" s="1" t="s">
        <v>10</v>
      </c>
      <c r="H4" s="1" t="s">
        <v>23</v>
      </c>
      <c r="I4" s="1" t="s">
        <v>24</v>
      </c>
      <c r="J4" s="1" t="s">
        <v>21</v>
      </c>
      <c r="K4" s="1" t="s">
        <v>22</v>
      </c>
    </row>
    <row r="5" spans="2:15" x14ac:dyDescent="0.3">
      <c r="B5" s="6" t="s">
        <v>0</v>
      </c>
      <c r="C5" s="7" t="s">
        <v>12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9</v>
      </c>
      <c r="I5" s="7" t="s">
        <v>9</v>
      </c>
      <c r="J5" s="7" t="s">
        <v>5</v>
      </c>
      <c r="K5" s="7" t="s">
        <v>5</v>
      </c>
    </row>
    <row r="6" spans="2:15" x14ac:dyDescent="0.3">
      <c r="B6" s="8" t="s">
        <v>17</v>
      </c>
      <c r="C6" s="9">
        <v>10</v>
      </c>
      <c r="D6" s="21">
        <v>7</v>
      </c>
      <c r="E6" s="22">
        <v>7</v>
      </c>
      <c r="F6" s="22">
        <f>C6*D6</f>
        <v>70</v>
      </c>
      <c r="G6" s="22">
        <f>C6*E6</f>
        <v>70</v>
      </c>
      <c r="H6" s="9">
        <v>0</v>
      </c>
      <c r="I6" s="9">
        <v>12</v>
      </c>
      <c r="J6" s="22">
        <f>F6*H6</f>
        <v>0</v>
      </c>
      <c r="K6" s="22">
        <f>F6*I6</f>
        <v>840</v>
      </c>
      <c r="M6" s="2" t="s">
        <v>25</v>
      </c>
      <c r="N6" s="2">
        <f>K6+J7+K7</f>
        <v>1540</v>
      </c>
      <c r="O6" s="19">
        <f>N6/J$19</f>
        <v>7.8535366413381616E-2</v>
      </c>
    </row>
    <row r="7" spans="2:15" x14ac:dyDescent="0.3">
      <c r="B7" s="8" t="s">
        <v>16</v>
      </c>
      <c r="C7" s="9">
        <v>20</v>
      </c>
      <c r="D7" s="21">
        <v>7</v>
      </c>
      <c r="E7" s="22">
        <v>7</v>
      </c>
      <c r="F7" s="22">
        <f t="shared" ref="F7:F17" si="0">C7*D7</f>
        <v>140</v>
      </c>
      <c r="G7" s="22">
        <f t="shared" ref="G7:G17" si="1">C7*E7</f>
        <v>140</v>
      </c>
      <c r="H7" s="9">
        <v>1</v>
      </c>
      <c r="I7" s="9">
        <v>4</v>
      </c>
      <c r="J7" s="22">
        <f t="shared" ref="J7:J17" si="2">F7*H7</f>
        <v>140</v>
      </c>
      <c r="K7" s="22">
        <f t="shared" ref="K7:K17" si="3">F7*I7</f>
        <v>560</v>
      </c>
      <c r="M7" s="2" t="s">
        <v>26</v>
      </c>
      <c r="N7" s="2">
        <f>J8+K8+J9+K9+J10+K10</f>
        <v>660</v>
      </c>
      <c r="O7" s="19">
        <f t="shared" ref="O7:O11" si="4">N7/J$19</f>
        <v>3.3658014177163548E-2</v>
      </c>
    </row>
    <row r="8" spans="2:15" x14ac:dyDescent="0.3">
      <c r="B8" s="8" t="s">
        <v>18</v>
      </c>
      <c r="C8" s="9">
        <v>1</v>
      </c>
      <c r="D8" s="21">
        <v>10</v>
      </c>
      <c r="E8" s="22">
        <v>10</v>
      </c>
      <c r="F8" s="22">
        <f t="shared" si="0"/>
        <v>10</v>
      </c>
      <c r="G8" s="22">
        <f t="shared" si="1"/>
        <v>10</v>
      </c>
      <c r="H8" s="9">
        <v>10</v>
      </c>
      <c r="I8" s="9">
        <v>14</v>
      </c>
      <c r="J8" s="22">
        <f t="shared" si="2"/>
        <v>100</v>
      </c>
      <c r="K8" s="22">
        <f t="shared" si="3"/>
        <v>140</v>
      </c>
      <c r="M8" s="2" t="s">
        <v>27</v>
      </c>
      <c r="N8" s="2">
        <f>J12+K12</f>
        <v>1080</v>
      </c>
      <c r="O8" s="19">
        <f t="shared" si="4"/>
        <v>5.5076750471722169E-2</v>
      </c>
    </row>
    <row r="9" spans="2:15" x14ac:dyDescent="0.3">
      <c r="B9" s="8" t="s">
        <v>32</v>
      </c>
      <c r="C9" s="9">
        <v>1</v>
      </c>
      <c r="D9" s="21">
        <v>50</v>
      </c>
      <c r="E9" s="22">
        <v>50</v>
      </c>
      <c r="F9" s="22">
        <f t="shared" si="0"/>
        <v>50</v>
      </c>
      <c r="G9" s="22">
        <f t="shared" si="1"/>
        <v>50</v>
      </c>
      <c r="H9" s="9">
        <v>4</v>
      </c>
      <c r="I9" s="9">
        <v>3</v>
      </c>
      <c r="J9" s="22">
        <f t="shared" si="2"/>
        <v>200</v>
      </c>
      <c r="K9" s="22">
        <f t="shared" si="3"/>
        <v>150</v>
      </c>
      <c r="M9" s="2" t="s">
        <v>30</v>
      </c>
      <c r="N9" s="25">
        <f>K11+J11</f>
        <v>1080</v>
      </c>
      <c r="O9" s="19">
        <f t="shared" si="4"/>
        <v>5.5076750471722169E-2</v>
      </c>
    </row>
    <row r="10" spans="2:15" x14ac:dyDescent="0.3">
      <c r="B10" s="8" t="s">
        <v>19</v>
      </c>
      <c r="C10" s="9">
        <v>1</v>
      </c>
      <c r="D10" s="21">
        <v>10</v>
      </c>
      <c r="E10" s="22">
        <v>10</v>
      </c>
      <c r="F10" s="22">
        <f t="shared" si="0"/>
        <v>10</v>
      </c>
      <c r="G10" s="22">
        <f t="shared" si="1"/>
        <v>10</v>
      </c>
      <c r="H10" s="9">
        <v>4</v>
      </c>
      <c r="I10" s="9">
        <v>3</v>
      </c>
      <c r="J10" s="22">
        <f t="shared" si="2"/>
        <v>40</v>
      </c>
      <c r="K10" s="22">
        <f t="shared" si="3"/>
        <v>30</v>
      </c>
      <c r="M10" s="2" t="s">
        <v>28</v>
      </c>
      <c r="N10" s="2">
        <f>J13+K13+J14+K14</f>
        <v>11250</v>
      </c>
      <c r="O10" s="19">
        <f t="shared" si="4"/>
        <v>0.57371615074710591</v>
      </c>
    </row>
    <row r="11" spans="2:15" x14ac:dyDescent="0.3">
      <c r="B11" s="8" t="s">
        <v>33</v>
      </c>
      <c r="C11" s="9">
        <v>1</v>
      </c>
      <c r="D11" s="21">
        <v>120</v>
      </c>
      <c r="E11" s="22">
        <v>120</v>
      </c>
      <c r="F11" s="22">
        <f t="shared" si="0"/>
        <v>120</v>
      </c>
      <c r="G11" s="22">
        <f t="shared" si="1"/>
        <v>120</v>
      </c>
      <c r="H11" s="9">
        <v>5</v>
      </c>
      <c r="I11" s="9">
        <v>4</v>
      </c>
      <c r="J11" s="22">
        <f t="shared" si="2"/>
        <v>600</v>
      </c>
      <c r="K11" s="22">
        <f t="shared" si="3"/>
        <v>480</v>
      </c>
      <c r="M11" s="2" t="s">
        <v>29</v>
      </c>
      <c r="N11" s="2">
        <f>J15+K15</f>
        <v>3999</v>
      </c>
      <c r="O11" s="19">
        <f t="shared" si="4"/>
        <v>0.20393696771890457</v>
      </c>
    </row>
    <row r="12" spans="2:15" x14ac:dyDescent="0.3">
      <c r="B12" s="8" t="s">
        <v>31</v>
      </c>
      <c r="C12" s="9">
        <v>2</v>
      </c>
      <c r="D12" s="21">
        <v>45</v>
      </c>
      <c r="E12" s="22">
        <v>135</v>
      </c>
      <c r="F12" s="22">
        <f t="shared" si="0"/>
        <v>90</v>
      </c>
      <c r="G12" s="22">
        <f t="shared" si="1"/>
        <v>270</v>
      </c>
      <c r="H12" s="9">
        <v>5</v>
      </c>
      <c r="I12" s="9">
        <v>7</v>
      </c>
      <c r="J12" s="22">
        <f t="shared" si="2"/>
        <v>450</v>
      </c>
      <c r="K12" s="22">
        <f t="shared" si="3"/>
        <v>630</v>
      </c>
      <c r="O12" s="19"/>
    </row>
    <row r="13" spans="2:15" x14ac:dyDescent="0.3">
      <c r="B13" s="8" t="s">
        <v>34</v>
      </c>
      <c r="C13" s="9">
        <v>1</v>
      </c>
      <c r="D13" s="21">
        <v>750</v>
      </c>
      <c r="E13" s="22">
        <v>1000</v>
      </c>
      <c r="F13" s="22">
        <f t="shared" si="0"/>
        <v>750</v>
      </c>
      <c r="G13" s="22">
        <f t="shared" si="1"/>
        <v>1000</v>
      </c>
      <c r="H13" s="9">
        <v>5</v>
      </c>
      <c r="I13" s="9">
        <v>2</v>
      </c>
      <c r="J13" s="22">
        <f t="shared" si="2"/>
        <v>3750</v>
      </c>
      <c r="K13" s="22">
        <f t="shared" si="3"/>
        <v>1500</v>
      </c>
    </row>
    <row r="14" spans="2:15" x14ac:dyDescent="0.3">
      <c r="B14" s="8" t="s">
        <v>35</v>
      </c>
      <c r="C14" s="9">
        <v>1</v>
      </c>
      <c r="D14" s="21">
        <v>750</v>
      </c>
      <c r="E14" s="22">
        <v>1000</v>
      </c>
      <c r="F14" s="22">
        <f t="shared" ref="F14" si="5">C14*D14</f>
        <v>750</v>
      </c>
      <c r="G14" s="22">
        <f t="shared" si="1"/>
        <v>1000</v>
      </c>
      <c r="H14" s="9">
        <v>0</v>
      </c>
      <c r="I14" s="9">
        <v>8</v>
      </c>
      <c r="J14" s="22">
        <f t="shared" si="2"/>
        <v>0</v>
      </c>
      <c r="K14" s="22">
        <f t="shared" si="3"/>
        <v>6000</v>
      </c>
    </row>
    <row r="15" spans="2:15" x14ac:dyDescent="0.3">
      <c r="B15" s="8" t="s">
        <v>20</v>
      </c>
      <c r="C15" s="9">
        <v>1</v>
      </c>
      <c r="D15" s="21">
        <v>1500</v>
      </c>
      <c r="E15" s="22">
        <v>1500</v>
      </c>
      <c r="F15" s="22">
        <f t="shared" si="0"/>
        <v>1500</v>
      </c>
      <c r="G15" s="22">
        <f t="shared" si="1"/>
        <v>1500</v>
      </c>
      <c r="H15" s="9">
        <v>2.6659999999999999</v>
      </c>
      <c r="I15" s="9">
        <v>0</v>
      </c>
      <c r="J15" s="22">
        <f t="shared" si="2"/>
        <v>3999</v>
      </c>
      <c r="K15" s="22">
        <f t="shared" si="3"/>
        <v>0</v>
      </c>
    </row>
    <row r="16" spans="2:15" x14ac:dyDescent="0.3">
      <c r="B16" s="8"/>
      <c r="C16" s="9"/>
      <c r="D16" s="21"/>
      <c r="E16" s="22"/>
      <c r="F16" s="22">
        <f t="shared" si="0"/>
        <v>0</v>
      </c>
      <c r="G16" s="22">
        <f t="shared" si="1"/>
        <v>0</v>
      </c>
      <c r="H16" s="9"/>
      <c r="I16" s="9"/>
      <c r="J16" s="22">
        <f t="shared" si="2"/>
        <v>0</v>
      </c>
      <c r="K16" s="22">
        <f t="shared" si="3"/>
        <v>0</v>
      </c>
    </row>
    <row r="17" spans="2:15" x14ac:dyDescent="0.3">
      <c r="B17" s="8"/>
      <c r="C17" s="9"/>
      <c r="D17" s="21"/>
      <c r="E17" s="22"/>
      <c r="F17" s="22">
        <f t="shared" si="0"/>
        <v>0</v>
      </c>
      <c r="G17" s="22">
        <f t="shared" si="1"/>
        <v>0</v>
      </c>
      <c r="H17" s="9"/>
      <c r="I17" s="9"/>
      <c r="J17" s="22">
        <f t="shared" si="2"/>
        <v>0</v>
      </c>
      <c r="K17" s="22">
        <f t="shared" si="3"/>
        <v>0</v>
      </c>
    </row>
    <row r="18" spans="2:15" s="10" customFormat="1" x14ac:dyDescent="0.3">
      <c r="B18" s="11" t="s">
        <v>4</v>
      </c>
      <c r="C18" s="27"/>
      <c r="D18" s="28"/>
      <c r="E18" s="29"/>
      <c r="F18" s="36">
        <f>SUM(F6:F17)</f>
        <v>3490</v>
      </c>
      <c r="G18" s="36">
        <f>SUM(G6:G17)</f>
        <v>4170</v>
      </c>
      <c r="H18" s="12"/>
      <c r="I18" s="12"/>
      <c r="J18" s="23">
        <f>SUM(J6:J17)</f>
        <v>9279</v>
      </c>
      <c r="K18" s="23">
        <f>SUM(K6:K17)</f>
        <v>10330</v>
      </c>
      <c r="M18" s="2"/>
      <c r="N18" s="2"/>
      <c r="O18" s="2"/>
    </row>
    <row r="19" spans="2:15" x14ac:dyDescent="0.3">
      <c r="J19" s="34">
        <f>J18+K18</f>
        <v>19609</v>
      </c>
      <c r="K19" s="35"/>
      <c r="M19" s="10"/>
      <c r="N19" s="10"/>
      <c r="O19" s="10"/>
    </row>
    <row r="20" spans="2:15" x14ac:dyDescent="0.3">
      <c r="D20" s="26" t="s">
        <v>8</v>
      </c>
      <c r="E20" s="26"/>
      <c r="F20" s="18">
        <v>0.75</v>
      </c>
      <c r="G20" s="18">
        <v>0.75</v>
      </c>
      <c r="J20" s="20">
        <f>J18/J19</f>
        <v>0.47320108113621295</v>
      </c>
      <c r="K20" s="20">
        <f>K18/J19</f>
        <v>0.52679891886378705</v>
      </c>
    </row>
    <row r="21" spans="2:15" ht="14.4" customHeight="1" x14ac:dyDescent="0.3"/>
    <row r="22" spans="2:15" x14ac:dyDescent="0.3">
      <c r="E22" s="11" t="s">
        <v>4</v>
      </c>
      <c r="F22" s="24">
        <f>F18*F20</f>
        <v>2617.5</v>
      </c>
      <c r="G22" s="24">
        <f>G18*G20</f>
        <v>3127.5</v>
      </c>
    </row>
    <row r="23" spans="2:15" x14ac:dyDescent="0.3">
      <c r="F23" s="30" t="s">
        <v>13</v>
      </c>
      <c r="G23" s="30" t="s">
        <v>14</v>
      </c>
      <c r="H23" s="2"/>
      <c r="I23" s="2"/>
    </row>
    <row r="24" spans="2:15" x14ac:dyDescent="0.3">
      <c r="F24" s="31"/>
      <c r="G24" s="31"/>
      <c r="H24" s="2"/>
      <c r="I24" s="2"/>
    </row>
    <row r="25" spans="2:15" x14ac:dyDescent="0.3">
      <c r="F25" s="31"/>
      <c r="G25" s="31"/>
      <c r="H25" s="2"/>
      <c r="I25" s="2"/>
    </row>
  </sheetData>
  <mergeCells count="5">
    <mergeCell ref="C18:E18"/>
    <mergeCell ref="D20:E20"/>
    <mergeCell ref="F23:F25"/>
    <mergeCell ref="G23:G25"/>
    <mergeCell ref="J19:K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Envoyé</vt:lpstr>
      <vt:lpstr>Reçu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Propriétaire</dc:creator>
  <cp:lastModifiedBy>dell</cp:lastModifiedBy>
  <dcterms:created xsi:type="dcterms:W3CDTF">2020-04-16T09:29:09Z</dcterms:created>
  <dcterms:modified xsi:type="dcterms:W3CDTF">2022-04-14T12:25:37Z</dcterms:modified>
</cp:coreProperties>
</file>