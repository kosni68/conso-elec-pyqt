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 (Victron Energy)\Chaine Youtube\"/>
    </mc:Choice>
  </mc:AlternateContent>
  <xr:revisionPtr revIDLastSave="0" documentId="13_ncr:1_{37E87DC8-A3D8-4F7C-97E0-FB5EC1660D31}" xr6:coauthVersionLast="36" xr6:coauthVersionMax="45" xr10:uidLastSave="{00000000-0000-0000-0000-000000000000}"/>
  <bookViews>
    <workbookView xWindow="0" yWindow="0" windowWidth="25135" windowHeight="10185" xr2:uid="{7A841E2D-7A2F-44BA-8CA5-8A06A3310551}"/>
  </bookViews>
  <sheets>
    <sheet name="Centre de santé" sheetId="4" r:id="rId1"/>
    <sheet name="Clinique" sheetId="5" r:id="rId2"/>
  </sheets>
  <definedNames>
    <definedName name="tension_banc" localSheetId="0">'Centre de santé'!$D$30</definedName>
    <definedName name="tension_banc" localSheetId="1">Clinique!$D$30</definedName>
    <definedName name="tension_ban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4" i="5" l="1"/>
  <c r="G14" i="5"/>
  <c r="I14" i="5"/>
  <c r="D82" i="5"/>
  <c r="D84" i="5" s="1"/>
  <c r="D81" i="5"/>
  <c r="D78" i="5"/>
  <c r="D77" i="5"/>
  <c r="D45" i="5"/>
  <c r="D58" i="5" s="1"/>
  <c r="D59" i="5" s="1"/>
  <c r="D32" i="5"/>
  <c r="D44" i="5" s="1"/>
  <c r="I19" i="5"/>
  <c r="G19" i="5"/>
  <c r="F19" i="5"/>
  <c r="I18" i="5"/>
  <c r="G18" i="5"/>
  <c r="F18" i="5"/>
  <c r="I17" i="5"/>
  <c r="G17" i="5"/>
  <c r="F17" i="5"/>
  <c r="I16" i="5"/>
  <c r="G16" i="5"/>
  <c r="F16" i="5"/>
  <c r="I15" i="5"/>
  <c r="G15" i="5"/>
  <c r="F15" i="5"/>
  <c r="I13" i="5"/>
  <c r="G13" i="5"/>
  <c r="F13" i="5"/>
  <c r="I12" i="5"/>
  <c r="G12" i="5"/>
  <c r="F12" i="5"/>
  <c r="I11" i="5"/>
  <c r="G11" i="5"/>
  <c r="F11" i="5"/>
  <c r="I10" i="5"/>
  <c r="G10" i="5"/>
  <c r="F10" i="5"/>
  <c r="I9" i="5"/>
  <c r="G9" i="5"/>
  <c r="F9" i="5"/>
  <c r="I8" i="5"/>
  <c r="G8" i="5"/>
  <c r="F8" i="5"/>
  <c r="I7" i="5"/>
  <c r="G7" i="5"/>
  <c r="F7" i="5"/>
  <c r="D58" i="4"/>
  <c r="E52" i="4"/>
  <c r="D52" i="4"/>
  <c r="D45" i="4"/>
  <c r="D46" i="4" s="1"/>
  <c r="D44" i="4"/>
  <c r="D82" i="4"/>
  <c r="D81" i="4"/>
  <c r="D78" i="4"/>
  <c r="D77" i="4"/>
  <c r="D32" i="4"/>
  <c r="I19" i="4"/>
  <c r="G19" i="4"/>
  <c r="F19" i="4"/>
  <c r="I18" i="4"/>
  <c r="G18" i="4"/>
  <c r="F18" i="4"/>
  <c r="I17" i="4"/>
  <c r="G17" i="4"/>
  <c r="F17" i="4"/>
  <c r="I16" i="4"/>
  <c r="G16" i="4"/>
  <c r="F16" i="4"/>
  <c r="I15" i="4"/>
  <c r="G15" i="4"/>
  <c r="F15" i="4"/>
  <c r="I14" i="4"/>
  <c r="G14" i="4"/>
  <c r="F14" i="4"/>
  <c r="I13" i="4"/>
  <c r="G13" i="4"/>
  <c r="F13" i="4"/>
  <c r="I12" i="4"/>
  <c r="G12" i="4"/>
  <c r="F12" i="4"/>
  <c r="I11" i="4"/>
  <c r="G11" i="4"/>
  <c r="F11" i="4"/>
  <c r="I10" i="4"/>
  <c r="G10" i="4"/>
  <c r="F10" i="4"/>
  <c r="I9" i="4"/>
  <c r="G9" i="4"/>
  <c r="F9" i="4"/>
  <c r="I8" i="4"/>
  <c r="G8" i="4"/>
  <c r="F8" i="4"/>
  <c r="I7" i="4"/>
  <c r="G7" i="4"/>
  <c r="F7" i="4"/>
  <c r="I20" i="5" l="1"/>
  <c r="D63" i="5" s="1"/>
  <c r="D66" i="5" s="1"/>
  <c r="D85" i="5" s="1"/>
  <c r="F20" i="5"/>
  <c r="F24" i="5" s="1"/>
  <c r="G20" i="5"/>
  <c r="G24" i="5" s="1"/>
  <c r="E52" i="5"/>
  <c r="E53" i="5" s="1"/>
  <c r="D46" i="5"/>
  <c r="D52" i="5"/>
  <c r="D53" i="5" s="1"/>
  <c r="F20" i="4"/>
  <c r="F24" i="4" s="1"/>
  <c r="G20" i="4"/>
  <c r="G24" i="4" s="1"/>
  <c r="I20" i="4"/>
  <c r="D63" i="4" s="1"/>
  <c r="D66" i="4" s="1"/>
  <c r="D85" i="4" s="1"/>
  <c r="D84" i="4"/>
  <c r="D38" i="5" l="1"/>
  <c r="D39" i="5" s="1"/>
  <c r="F66" i="5"/>
  <c r="F69" i="5" s="1"/>
  <c r="D69" i="5"/>
  <c r="D38" i="4"/>
  <c r="F66" i="4"/>
  <c r="F69" i="4" s="1"/>
  <c r="D69" i="4"/>
  <c r="D47" i="5" l="1"/>
  <c r="D39" i="4"/>
  <c r="D47" i="4"/>
  <c r="E53" i="4" l="1"/>
  <c r="D59" i="4"/>
  <c r="D53" i="4"/>
</calcChain>
</file>

<file path=xl/sharedStrings.xml><?xml version="1.0" encoding="utf-8"?>
<sst xmlns="http://schemas.openxmlformats.org/spreadsheetml/2006/main" count="265" uniqueCount="100">
  <si>
    <t>Charges</t>
  </si>
  <si>
    <t>Unités :</t>
  </si>
  <si>
    <t>Watts</t>
  </si>
  <si>
    <t>Puissance de pointe</t>
  </si>
  <si>
    <t>Quantités</t>
  </si>
  <si>
    <t>Total :</t>
  </si>
  <si>
    <t>Durée de fonctionnement</t>
  </si>
  <si>
    <t>Consommation journalière totale</t>
  </si>
  <si>
    <t>Watt-heures</t>
  </si>
  <si>
    <t>Puissance continue</t>
  </si>
  <si>
    <t>Puissance continue totale</t>
  </si>
  <si>
    <t>Coefficient de simultanéité :</t>
  </si>
  <si>
    <t>heures</t>
  </si>
  <si>
    <t>Puissance de pointe  totale</t>
  </si>
  <si>
    <t>Bilan de puissance</t>
  </si>
  <si>
    <t>Stockage</t>
  </si>
  <si>
    <t>Tension du système</t>
  </si>
  <si>
    <t>Jours d'autonomie</t>
  </si>
  <si>
    <t>jours (J)</t>
  </si>
  <si>
    <t>volts (V)</t>
  </si>
  <si>
    <t>Profondeur de décharge max</t>
  </si>
  <si>
    <t>Watt-heures (Wh)</t>
  </si>
  <si>
    <t>Amprères-heures (Ah)</t>
  </si>
  <si>
    <t>Courant de décharge maximum</t>
  </si>
  <si>
    <t>Courant de charge maximum</t>
  </si>
  <si>
    <t>Puissance de charge maximum</t>
  </si>
  <si>
    <t>Ampères</t>
  </si>
  <si>
    <t>Type de batteries</t>
  </si>
  <si>
    <t>-</t>
  </si>
  <si>
    <t>Puissance de décharge maximum</t>
  </si>
  <si>
    <t>% Ah stockage</t>
  </si>
  <si>
    <t>Gel</t>
  </si>
  <si>
    <t>pourcent (%)</t>
  </si>
  <si>
    <t xml:space="preserve">Nombre de batteries en séries </t>
  </si>
  <si>
    <t>#</t>
  </si>
  <si>
    <t xml:space="preserve"># </t>
  </si>
  <si>
    <t>Tension unitaire de la batterie</t>
  </si>
  <si>
    <t>Dépend de la technologie de batterie (voir présentation)</t>
  </si>
  <si>
    <t>unités</t>
  </si>
  <si>
    <t>2V ou 12V pour les batteries plomb (parfois 48V pour le lithium)</t>
  </si>
  <si>
    <t>Puissance continue minimum du convertisseur</t>
  </si>
  <si>
    <t>Puissance de pointe minimum du convertisseur</t>
  </si>
  <si>
    <t>Irradiation journalière</t>
  </si>
  <si>
    <t>Wh/m²/J</t>
  </si>
  <si>
    <t>Rendement du système</t>
  </si>
  <si>
    <t>%</t>
  </si>
  <si>
    <t>Watts-crêtes</t>
  </si>
  <si>
    <t>Watt-heures/jour</t>
  </si>
  <si>
    <t>Champs PV</t>
  </si>
  <si>
    <t xml:space="preserve">Ventilateur </t>
  </si>
  <si>
    <t>Tube LED 60 cm (bureau)</t>
  </si>
  <si>
    <t>Tube LED 120 cm  (salles)</t>
  </si>
  <si>
    <t>Tube LED 120 cm (exterieur)</t>
  </si>
  <si>
    <t>Ordinateur portable</t>
  </si>
  <si>
    <t>Centre de santé</t>
  </si>
  <si>
    <t>Puissance unitaire des panneaux</t>
  </si>
  <si>
    <t>Volts</t>
  </si>
  <si>
    <t>Tension Voc d'un panneau</t>
  </si>
  <si>
    <t>Tension PV max du régulateur</t>
  </si>
  <si>
    <t>Tension Vmp d'un panneau</t>
  </si>
  <si>
    <t>Nombre minimum de panneaux en série</t>
  </si>
  <si>
    <t>Nombre maximum de panneaux en série</t>
  </si>
  <si>
    <t>Puissance totale du champs solaire</t>
  </si>
  <si>
    <t>Courant de charge du régulateur</t>
  </si>
  <si>
    <t>Rendement du champs solaire</t>
  </si>
  <si>
    <t>Courant de charge du champs PV</t>
  </si>
  <si>
    <t xml:space="preserve">Nombre de panneaux total </t>
  </si>
  <si>
    <t>Régulateurs de charge MPPT et configuration du champs PV</t>
  </si>
  <si>
    <t>nombre minimum de panneaux en série  pour que la tension Vmp du champs PV soit au moins deux fois supérieure à la tension du banc de batteries</t>
  </si>
  <si>
    <t>varie selon les conditions (poussières, températures, etc.) : environ 80%</t>
  </si>
  <si>
    <t>Puissance du champs solaire (minimum)</t>
  </si>
  <si>
    <t>% du besoin min</t>
  </si>
  <si>
    <t>12, 24 ou 48V</t>
  </si>
  <si>
    <t>Nombre de panneaux en série choisi</t>
  </si>
  <si>
    <t>Nombre de panneaux en parallèle choisi</t>
  </si>
  <si>
    <t>Stérilisateur autoclave</t>
  </si>
  <si>
    <t>Réfrigérateur vaccins (100L)</t>
  </si>
  <si>
    <t>Réfrigérateur vaccins (200L)</t>
  </si>
  <si>
    <t>Centrifugeuse</t>
  </si>
  <si>
    <t>Courant de charge adapté au banc de batteries</t>
  </si>
  <si>
    <t>Minimum</t>
  </si>
  <si>
    <t>Courant de décharge adapté au banc de batteries</t>
  </si>
  <si>
    <t>valeurs conseillée :min : 10 % ; max 20%</t>
  </si>
  <si>
    <t xml:space="preserve">Minimum </t>
  </si>
  <si>
    <t>Maximum</t>
  </si>
  <si>
    <t>Modifié</t>
  </si>
  <si>
    <t>Coefficeint de sur-dimensionnement</t>
  </si>
  <si>
    <t>renseigne sur la puissance maximale qui peut être fournie aux charges</t>
  </si>
  <si>
    <t>nombre maximum de panneaux en série  pour que la tension Voc du champs PV soit inférieure à la tension max du régulateur MPPT</t>
  </si>
  <si>
    <t>renseigne sur la puissance du champs PV adaptée au banc de batteries</t>
  </si>
  <si>
    <t>Capacité du banc minimale</t>
  </si>
  <si>
    <t>Capacité unitaire des batteries</t>
  </si>
  <si>
    <t>Nombre de chaines en parallèles</t>
  </si>
  <si>
    <t>Nombre totale de batteries</t>
  </si>
  <si>
    <t>Sélectionné</t>
  </si>
  <si>
    <t>Besoin minimum couvert</t>
  </si>
  <si>
    <t>Besoin PV minimum couvert</t>
  </si>
  <si>
    <t>Imprimante</t>
  </si>
  <si>
    <t>Microscope</t>
  </si>
  <si>
    <t>Lecteur de microplaques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</si>
</sst>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u/>
      <sz val="9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7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1" fontId="0" fillId="2" borderId="5" xfId="0" applyNumberFormat="1" applyFill="1" applyBorder="1" applyAlignment="1">
      <alignment horizontal="center" vertical="center"/>
    </xf>
    <xf numFmtId="9" fontId="0" fillId="2" borderId="5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6" borderId="5" xfId="0" applyNumberFormat="1" applyFill="1" applyBorder="1" applyAlignment="1">
      <alignment horizontal="center" vertical="center"/>
    </xf>
    <xf numFmtId="1" fontId="0" fillId="0" borderId="5" xfId="0" applyNumberForma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5" xfId="0" quotePrefix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vertical="center"/>
    </xf>
    <xf numFmtId="2" fontId="0" fillId="2" borderId="5" xfId="0" applyNumberFormat="1" applyFill="1" applyBorder="1" applyAlignment="1">
      <alignment horizontal="center" vertical="center"/>
    </xf>
    <xf numFmtId="9" fontId="0" fillId="6" borderId="5" xfId="1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0" fillId="4" borderId="7" xfId="0" applyNumberFormat="1" applyFill="1" applyBorder="1" applyAlignment="1">
      <alignment horizontal="center" vertical="center" wrapText="1"/>
    </xf>
    <xf numFmtId="1" fontId="0" fillId="4" borderId="8" xfId="0" applyNumberForma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2822-519C-4B7C-9520-6E8A36E5953A}">
  <dimension ref="B1:I85"/>
  <sheetViews>
    <sheetView showGridLines="0" tabSelected="1" topLeftCell="B29" zoomScale="115" zoomScaleNormal="115" workbookViewId="0">
      <selection activeCell="C45" sqref="C45"/>
    </sheetView>
  </sheetViews>
  <sheetFormatPr baseColWidth="10" defaultRowHeight="15.05" x14ac:dyDescent="0.3"/>
  <cols>
    <col min="1" max="1" width="2.44140625" style="2" customWidth="1"/>
    <col min="2" max="2" width="36" style="2" bestFit="1" customWidth="1"/>
    <col min="3" max="8" width="15.6640625" style="3" customWidth="1"/>
    <col min="9" max="9" width="15.6640625" style="2" customWidth="1"/>
    <col min="10" max="16384" width="11.5546875" style="2"/>
  </cols>
  <sheetData>
    <row r="1" spans="2:9" s="33" customFormat="1" ht="19.149999999999999" customHeight="1" x14ac:dyDescent="0.3">
      <c r="B1" s="35" t="s">
        <v>54</v>
      </c>
      <c r="C1" s="34"/>
      <c r="D1" s="34"/>
      <c r="E1" s="34"/>
      <c r="F1" s="34"/>
      <c r="G1" s="34"/>
      <c r="H1" s="34"/>
    </row>
    <row r="3" spans="2:9" ht="14.4" x14ac:dyDescent="0.3">
      <c r="B3" s="18" t="s">
        <v>14</v>
      </c>
    </row>
    <row r="5" spans="2:9" s="4" customFormat="1" ht="49.25" customHeight="1" x14ac:dyDescent="0.3">
      <c r="B5" s="5" t="s">
        <v>0</v>
      </c>
      <c r="C5" s="1" t="s">
        <v>4</v>
      </c>
      <c r="D5" s="1" t="s">
        <v>9</v>
      </c>
      <c r="E5" s="1" t="s">
        <v>3</v>
      </c>
      <c r="F5" s="1" t="s">
        <v>10</v>
      </c>
      <c r="G5" s="1" t="s">
        <v>13</v>
      </c>
      <c r="H5" s="1" t="s">
        <v>6</v>
      </c>
      <c r="I5" s="1" t="s">
        <v>7</v>
      </c>
    </row>
    <row r="6" spans="2:9" x14ac:dyDescent="0.3">
      <c r="B6" s="6" t="s">
        <v>1</v>
      </c>
      <c r="C6" s="7" t="s">
        <v>34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12</v>
      </c>
      <c r="I6" s="7" t="s">
        <v>8</v>
      </c>
    </row>
    <row r="7" spans="2:9" ht="14.4" x14ac:dyDescent="0.3">
      <c r="B7" s="8" t="s">
        <v>51</v>
      </c>
      <c r="C7" s="9">
        <v>6</v>
      </c>
      <c r="D7" s="9">
        <v>36</v>
      </c>
      <c r="E7" s="9">
        <v>36</v>
      </c>
      <c r="F7" s="13">
        <f>C7*D7</f>
        <v>216</v>
      </c>
      <c r="G7" s="13">
        <f>C7*E7</f>
        <v>216</v>
      </c>
      <c r="H7" s="9">
        <v>7</v>
      </c>
      <c r="I7" s="13">
        <f>C7*D7*H7</f>
        <v>1512</v>
      </c>
    </row>
    <row r="8" spans="2:9" ht="14.4" x14ac:dyDescent="0.3">
      <c r="B8" s="8" t="s">
        <v>50</v>
      </c>
      <c r="C8" s="9">
        <v>2</v>
      </c>
      <c r="D8" s="9">
        <v>18</v>
      </c>
      <c r="E8" s="9">
        <v>18</v>
      </c>
      <c r="F8" s="13">
        <f t="shared" ref="F8:F19" si="0">C8*D8</f>
        <v>36</v>
      </c>
      <c r="G8" s="13">
        <f t="shared" ref="G8:G19" si="1">C8*E8</f>
        <v>36</v>
      </c>
      <c r="H8" s="9">
        <v>7</v>
      </c>
      <c r="I8" s="13">
        <f t="shared" ref="I8:I19" si="2">C8*D8*H8</f>
        <v>252</v>
      </c>
    </row>
    <row r="9" spans="2:9" ht="14.4" x14ac:dyDescent="0.3">
      <c r="B9" s="8" t="s">
        <v>52</v>
      </c>
      <c r="C9" s="9">
        <v>2</v>
      </c>
      <c r="D9" s="9">
        <v>36</v>
      </c>
      <c r="E9" s="9">
        <v>36</v>
      </c>
      <c r="F9" s="13">
        <f t="shared" si="0"/>
        <v>72</v>
      </c>
      <c r="G9" s="13">
        <f t="shared" si="1"/>
        <v>72</v>
      </c>
      <c r="H9" s="9">
        <v>11</v>
      </c>
      <c r="I9" s="13">
        <f t="shared" si="2"/>
        <v>792</v>
      </c>
    </row>
    <row r="10" spans="2:9" ht="14.4" x14ac:dyDescent="0.3">
      <c r="B10" s="8" t="s">
        <v>53</v>
      </c>
      <c r="C10" s="9">
        <v>1</v>
      </c>
      <c r="D10" s="9">
        <v>50</v>
      </c>
      <c r="E10" s="9">
        <v>50</v>
      </c>
      <c r="F10" s="13">
        <f t="shared" si="0"/>
        <v>50</v>
      </c>
      <c r="G10" s="13">
        <f t="shared" si="1"/>
        <v>50</v>
      </c>
      <c r="H10" s="9">
        <v>8</v>
      </c>
      <c r="I10" s="13">
        <f t="shared" si="2"/>
        <v>400</v>
      </c>
    </row>
    <row r="11" spans="2:9" ht="14.4" x14ac:dyDescent="0.3">
      <c r="B11" s="8" t="s">
        <v>49</v>
      </c>
      <c r="C11" s="9">
        <v>4</v>
      </c>
      <c r="D11" s="9">
        <v>60</v>
      </c>
      <c r="E11" s="9">
        <v>60</v>
      </c>
      <c r="F11" s="13">
        <f t="shared" si="0"/>
        <v>240</v>
      </c>
      <c r="G11" s="13">
        <f t="shared" si="1"/>
        <v>240</v>
      </c>
      <c r="H11" s="9">
        <v>3</v>
      </c>
      <c r="I11" s="13">
        <f t="shared" si="2"/>
        <v>720</v>
      </c>
    </row>
    <row r="12" spans="2:9" x14ac:dyDescent="0.3">
      <c r="B12" s="8" t="s">
        <v>76</v>
      </c>
      <c r="C12" s="9">
        <v>1</v>
      </c>
      <c r="D12" s="9">
        <v>100</v>
      </c>
      <c r="E12" s="9">
        <v>400</v>
      </c>
      <c r="F12" s="13">
        <f t="shared" si="0"/>
        <v>100</v>
      </c>
      <c r="G12" s="13">
        <f t="shared" si="1"/>
        <v>400</v>
      </c>
      <c r="H12" s="9">
        <v>12</v>
      </c>
      <c r="I12" s="13">
        <f t="shared" si="2"/>
        <v>1200</v>
      </c>
    </row>
    <row r="13" spans="2:9" ht="14.4" x14ac:dyDescent="0.3">
      <c r="B13" s="8"/>
      <c r="C13" s="9"/>
      <c r="D13" s="9"/>
      <c r="E13" s="9"/>
      <c r="F13" s="13">
        <f t="shared" si="0"/>
        <v>0</v>
      </c>
      <c r="G13" s="13">
        <f t="shared" si="1"/>
        <v>0</v>
      </c>
      <c r="H13" s="9"/>
      <c r="I13" s="13">
        <f t="shared" si="2"/>
        <v>0</v>
      </c>
    </row>
    <row r="14" spans="2:9" ht="14.4" x14ac:dyDescent="0.3">
      <c r="B14" s="8"/>
      <c r="C14" s="9"/>
      <c r="D14" s="9"/>
      <c r="E14" s="9"/>
      <c r="F14" s="13">
        <f t="shared" si="0"/>
        <v>0</v>
      </c>
      <c r="G14" s="13">
        <f t="shared" si="1"/>
        <v>0</v>
      </c>
      <c r="H14" s="9"/>
      <c r="I14" s="13">
        <f t="shared" si="2"/>
        <v>0</v>
      </c>
    </row>
    <row r="15" spans="2:9" ht="14.4" x14ac:dyDescent="0.3">
      <c r="B15" s="8"/>
      <c r="C15" s="9"/>
      <c r="D15" s="9"/>
      <c r="E15" s="9"/>
      <c r="F15" s="13">
        <f t="shared" si="0"/>
        <v>0</v>
      </c>
      <c r="G15" s="13">
        <f t="shared" si="1"/>
        <v>0</v>
      </c>
      <c r="H15" s="9"/>
      <c r="I15" s="13">
        <f t="shared" si="2"/>
        <v>0</v>
      </c>
    </row>
    <row r="16" spans="2:9" ht="14.4" x14ac:dyDescent="0.3">
      <c r="B16" s="8"/>
      <c r="C16" s="9"/>
      <c r="D16" s="9"/>
      <c r="E16" s="9"/>
      <c r="F16" s="13">
        <f t="shared" si="0"/>
        <v>0</v>
      </c>
      <c r="G16" s="13">
        <f t="shared" si="1"/>
        <v>0</v>
      </c>
      <c r="H16" s="9"/>
      <c r="I16" s="13">
        <f t="shared" si="2"/>
        <v>0</v>
      </c>
    </row>
    <row r="17" spans="2:9" ht="14.4" x14ac:dyDescent="0.3">
      <c r="B17" s="8"/>
      <c r="C17" s="9"/>
      <c r="D17" s="9"/>
      <c r="E17" s="9"/>
      <c r="F17" s="13">
        <f t="shared" si="0"/>
        <v>0</v>
      </c>
      <c r="G17" s="13">
        <f t="shared" si="1"/>
        <v>0</v>
      </c>
      <c r="H17" s="9"/>
      <c r="I17" s="13">
        <f t="shared" si="2"/>
        <v>0</v>
      </c>
    </row>
    <row r="18" spans="2:9" ht="14.4" x14ac:dyDescent="0.3">
      <c r="B18" s="8"/>
      <c r="C18" s="9"/>
      <c r="D18" s="9"/>
      <c r="E18" s="9"/>
      <c r="F18" s="13">
        <f t="shared" si="0"/>
        <v>0</v>
      </c>
      <c r="G18" s="13">
        <f t="shared" si="1"/>
        <v>0</v>
      </c>
      <c r="H18" s="9"/>
      <c r="I18" s="13">
        <f t="shared" si="2"/>
        <v>0</v>
      </c>
    </row>
    <row r="19" spans="2:9" ht="14.4" x14ac:dyDescent="0.3">
      <c r="B19" s="8"/>
      <c r="C19" s="9"/>
      <c r="D19" s="9"/>
      <c r="E19" s="9"/>
      <c r="F19" s="13">
        <f t="shared" si="0"/>
        <v>0</v>
      </c>
      <c r="G19" s="13">
        <f t="shared" si="1"/>
        <v>0</v>
      </c>
      <c r="H19" s="9"/>
      <c r="I19" s="13">
        <f t="shared" si="2"/>
        <v>0</v>
      </c>
    </row>
    <row r="20" spans="2:9" s="10" customFormat="1" ht="14.4" x14ac:dyDescent="0.3">
      <c r="B20" s="11" t="s">
        <v>5</v>
      </c>
      <c r="C20" s="43"/>
      <c r="D20" s="44"/>
      <c r="E20" s="45"/>
      <c r="F20" s="15">
        <f>SUM(F7:F19)</f>
        <v>714</v>
      </c>
      <c r="G20" s="15">
        <f>SUM(G7:G19)</f>
        <v>1014</v>
      </c>
      <c r="H20" s="12"/>
      <c r="I20" s="16">
        <f>SUM(I7:I19)</f>
        <v>4876</v>
      </c>
    </row>
    <row r="22" spans="2:9" x14ac:dyDescent="0.3">
      <c r="D22" s="46" t="s">
        <v>11</v>
      </c>
      <c r="E22" s="46"/>
      <c r="F22" s="14">
        <v>1</v>
      </c>
      <c r="G22" s="14">
        <v>1</v>
      </c>
    </row>
    <row r="23" spans="2:9" ht="14.4" customHeight="1" x14ac:dyDescent="0.3"/>
    <row r="24" spans="2:9" ht="14.4" x14ac:dyDescent="0.3">
      <c r="E24" s="11" t="s">
        <v>5</v>
      </c>
      <c r="F24" s="17">
        <f>F20*F22</f>
        <v>714</v>
      </c>
      <c r="G24" s="17">
        <f>G20*G22</f>
        <v>1014</v>
      </c>
    </row>
    <row r="25" spans="2:9" x14ac:dyDescent="0.3">
      <c r="F25" s="47" t="s">
        <v>40</v>
      </c>
      <c r="G25" s="47" t="s">
        <v>41</v>
      </c>
      <c r="H25" s="2"/>
    </row>
    <row r="26" spans="2:9" x14ac:dyDescent="0.3">
      <c r="F26" s="48"/>
      <c r="G26" s="48"/>
      <c r="H26" s="2"/>
    </row>
    <row r="27" spans="2:9" x14ac:dyDescent="0.3">
      <c r="F27" s="48"/>
      <c r="G27" s="48"/>
      <c r="H27" s="2"/>
    </row>
    <row r="28" spans="2:9" ht="14.4" customHeight="1" x14ac:dyDescent="0.3">
      <c r="B28" s="18" t="s">
        <v>15</v>
      </c>
      <c r="C28" s="2"/>
      <c r="D28" s="2"/>
      <c r="E28" s="2"/>
      <c r="F28" s="2"/>
      <c r="G28" s="2"/>
      <c r="H28" s="2"/>
    </row>
    <row r="29" spans="2:9" x14ac:dyDescent="0.3">
      <c r="C29" s="26" t="s">
        <v>38</v>
      </c>
      <c r="D29" s="2"/>
      <c r="E29" s="2"/>
      <c r="F29" s="2"/>
      <c r="G29" s="2"/>
      <c r="H29" s="2"/>
    </row>
    <row r="30" spans="2:9" x14ac:dyDescent="0.3">
      <c r="B30" s="19" t="s">
        <v>16</v>
      </c>
      <c r="C30" s="27" t="s">
        <v>19</v>
      </c>
      <c r="D30" s="20">
        <v>48</v>
      </c>
      <c r="E30" s="32" t="s">
        <v>72</v>
      </c>
      <c r="F30" s="2"/>
      <c r="G30" s="2"/>
      <c r="H30" s="2"/>
    </row>
    <row r="31" spans="2:9" x14ac:dyDescent="0.3">
      <c r="B31" s="19" t="s">
        <v>36</v>
      </c>
      <c r="C31" s="27" t="s">
        <v>19</v>
      </c>
      <c r="D31" s="20">
        <v>12</v>
      </c>
      <c r="E31" s="32" t="s">
        <v>39</v>
      </c>
      <c r="F31" s="2"/>
      <c r="G31" s="2"/>
      <c r="H31" s="2"/>
    </row>
    <row r="32" spans="2:9" x14ac:dyDescent="0.3">
      <c r="B32" s="19" t="s">
        <v>33</v>
      </c>
      <c r="C32" s="27" t="s">
        <v>35</v>
      </c>
      <c r="D32" s="24">
        <f>D30/D31</f>
        <v>4</v>
      </c>
      <c r="E32" s="32"/>
      <c r="F32" s="2"/>
      <c r="G32" s="2"/>
      <c r="H32" s="2"/>
    </row>
    <row r="33" spans="2:8" x14ac:dyDescent="0.3">
      <c r="B33" s="19" t="s">
        <v>17</v>
      </c>
      <c r="C33" s="27" t="s">
        <v>18</v>
      </c>
      <c r="D33" s="20">
        <v>2</v>
      </c>
      <c r="E33" s="25"/>
      <c r="F33" s="2"/>
      <c r="G33" s="2"/>
      <c r="H33" s="2"/>
    </row>
    <row r="34" spans="2:8" x14ac:dyDescent="0.3">
      <c r="B34" s="19" t="s">
        <v>20</v>
      </c>
      <c r="C34" s="27" t="s">
        <v>32</v>
      </c>
      <c r="D34" s="21">
        <v>0.5</v>
      </c>
      <c r="E34" s="25"/>
      <c r="F34" s="2"/>
      <c r="G34" s="2"/>
      <c r="H34" s="2"/>
    </row>
    <row r="35" spans="2:8" x14ac:dyDescent="0.3">
      <c r="B35" s="19" t="s">
        <v>27</v>
      </c>
      <c r="C35" s="28" t="s">
        <v>28</v>
      </c>
      <c r="D35" s="20" t="s">
        <v>31</v>
      </c>
      <c r="E35" s="25"/>
      <c r="F35" s="2"/>
      <c r="G35" s="2"/>
      <c r="H35" s="2"/>
    </row>
    <row r="36" spans="2:8" x14ac:dyDescent="0.3">
      <c r="C36" s="29"/>
      <c r="D36" s="2"/>
      <c r="E36" s="25"/>
      <c r="F36" s="2"/>
      <c r="G36" s="2"/>
      <c r="H36" s="2"/>
    </row>
    <row r="37" spans="2:8" x14ac:dyDescent="0.3">
      <c r="C37" s="29"/>
      <c r="D37" s="41" t="s">
        <v>83</v>
      </c>
      <c r="E37" s="25"/>
      <c r="F37" s="2"/>
      <c r="G37" s="2"/>
      <c r="H37" s="2"/>
    </row>
    <row r="38" spans="2:8" x14ac:dyDescent="0.3">
      <c r="B38" s="19" t="s">
        <v>90</v>
      </c>
      <c r="C38" s="27" t="s">
        <v>21</v>
      </c>
      <c r="D38" s="31">
        <f>I20*D33/D34</f>
        <v>19504</v>
      </c>
      <c r="E38" s="22"/>
    </row>
    <row r="39" spans="2:8" x14ac:dyDescent="0.3">
      <c r="B39" s="19" t="s">
        <v>90</v>
      </c>
      <c r="C39" s="27" t="s">
        <v>22</v>
      </c>
      <c r="D39" s="23">
        <f>D38/D30</f>
        <v>406.33333333333331</v>
      </c>
      <c r="E39" s="22"/>
    </row>
    <row r="40" spans="2:8" x14ac:dyDescent="0.3">
      <c r="C40" s="30"/>
      <c r="E40" s="22"/>
    </row>
    <row r="41" spans="2:8" x14ac:dyDescent="0.3">
      <c r="C41" s="30"/>
      <c r="D41" s="41" t="s">
        <v>94</v>
      </c>
      <c r="E41" s="22"/>
    </row>
    <row r="42" spans="2:8" x14ac:dyDescent="0.3">
      <c r="B42" s="19" t="s">
        <v>91</v>
      </c>
      <c r="C42" s="27" t="s">
        <v>22</v>
      </c>
      <c r="D42" s="20">
        <v>220</v>
      </c>
      <c r="E42" s="22"/>
    </row>
    <row r="43" spans="2:8" x14ac:dyDescent="0.3">
      <c r="B43" s="19" t="s">
        <v>92</v>
      </c>
      <c r="C43" s="27" t="s">
        <v>35</v>
      </c>
      <c r="D43" s="20">
        <v>2</v>
      </c>
      <c r="E43" s="22"/>
    </row>
    <row r="44" spans="2:8" x14ac:dyDescent="0.3">
      <c r="B44" s="19" t="s">
        <v>93</v>
      </c>
      <c r="C44" s="27" t="s">
        <v>35</v>
      </c>
      <c r="D44" s="31">
        <f>D43*D32</f>
        <v>8</v>
      </c>
      <c r="E44" s="22"/>
    </row>
    <row r="45" spans="2:8" x14ac:dyDescent="0.3">
      <c r="B45" s="19" t="s">
        <v>90</v>
      </c>
      <c r="C45" s="27" t="s">
        <v>22</v>
      </c>
      <c r="D45" s="31">
        <f>D43*D42</f>
        <v>440</v>
      </c>
      <c r="E45" s="22"/>
    </row>
    <row r="46" spans="2:8" x14ac:dyDescent="0.3">
      <c r="B46" s="19" t="s">
        <v>90</v>
      </c>
      <c r="C46" s="27" t="s">
        <v>21</v>
      </c>
      <c r="D46" s="23">
        <f>D45*tension_banc</f>
        <v>21120</v>
      </c>
      <c r="E46" s="22"/>
    </row>
    <row r="47" spans="2:8" x14ac:dyDescent="0.3">
      <c r="B47" s="19" t="s">
        <v>95</v>
      </c>
      <c r="C47" s="27" t="s">
        <v>45</v>
      </c>
      <c r="D47" s="42">
        <f>D46/D38</f>
        <v>1.0828547990155866</v>
      </c>
      <c r="E47" s="22"/>
    </row>
    <row r="48" spans="2:8" x14ac:dyDescent="0.3">
      <c r="B48" s="38"/>
      <c r="C48" s="39"/>
      <c r="D48" s="22"/>
      <c r="E48" s="22"/>
    </row>
    <row r="49" spans="2:9" x14ac:dyDescent="0.3">
      <c r="B49" s="40" t="s">
        <v>79</v>
      </c>
      <c r="C49" s="30"/>
      <c r="E49" s="22"/>
    </row>
    <row r="50" spans="2:9" x14ac:dyDescent="0.3">
      <c r="C50" s="30"/>
      <c r="D50" s="41" t="s">
        <v>83</v>
      </c>
      <c r="E50" s="41" t="s">
        <v>84</v>
      </c>
    </row>
    <row r="51" spans="2:9" x14ac:dyDescent="0.3">
      <c r="B51" s="19" t="s">
        <v>24</v>
      </c>
      <c r="C51" s="27" t="s">
        <v>30</v>
      </c>
      <c r="D51" s="21">
        <v>0.1</v>
      </c>
      <c r="E51" s="21">
        <v>0.2</v>
      </c>
      <c r="F51" s="32" t="s">
        <v>82</v>
      </c>
    </row>
    <row r="52" spans="2:9" x14ac:dyDescent="0.3">
      <c r="B52" s="19" t="s">
        <v>24</v>
      </c>
      <c r="C52" s="27" t="s">
        <v>26</v>
      </c>
      <c r="D52" s="23">
        <f>D51*D45</f>
        <v>44</v>
      </c>
      <c r="E52" s="23">
        <f>E51*D45</f>
        <v>88</v>
      </c>
    </row>
    <row r="53" spans="2:9" x14ac:dyDescent="0.3">
      <c r="B53" s="19" t="s">
        <v>25</v>
      </c>
      <c r="C53" s="27" t="s">
        <v>2</v>
      </c>
      <c r="D53" s="24">
        <f>D52*tension_banc</f>
        <v>2112</v>
      </c>
      <c r="E53" s="24">
        <f>E52*tension_banc</f>
        <v>4224</v>
      </c>
      <c r="F53" s="32" t="s">
        <v>89</v>
      </c>
    </row>
    <row r="54" spans="2:9" x14ac:dyDescent="0.3">
      <c r="C54" s="30"/>
      <c r="E54" s="22"/>
    </row>
    <row r="55" spans="2:9" x14ac:dyDescent="0.3">
      <c r="B55" s="40" t="s">
        <v>81</v>
      </c>
      <c r="C55" s="30"/>
      <c r="E55" s="22"/>
    </row>
    <row r="56" spans="2:9" x14ac:dyDescent="0.3">
      <c r="C56" s="30"/>
      <c r="E56" s="22"/>
    </row>
    <row r="57" spans="2:9" x14ac:dyDescent="0.3">
      <c r="B57" s="19" t="s">
        <v>23</v>
      </c>
      <c r="C57" s="27" t="s">
        <v>30</v>
      </c>
      <c r="D57" s="21">
        <v>0.33</v>
      </c>
      <c r="E57" s="32" t="s">
        <v>37</v>
      </c>
    </row>
    <row r="58" spans="2:9" s="3" customFormat="1" x14ac:dyDescent="0.3">
      <c r="B58" s="19" t="s">
        <v>23</v>
      </c>
      <c r="C58" s="27" t="s">
        <v>26</v>
      </c>
      <c r="D58" s="23">
        <f>D57*D45</f>
        <v>145.20000000000002</v>
      </c>
      <c r="E58" s="22"/>
      <c r="I58" s="2"/>
    </row>
    <row r="59" spans="2:9" s="3" customFormat="1" x14ac:dyDescent="0.3">
      <c r="B59" s="19" t="s">
        <v>29</v>
      </c>
      <c r="C59" s="27" t="s">
        <v>2</v>
      </c>
      <c r="D59" s="24">
        <f>D58*tension_banc</f>
        <v>6969.6</v>
      </c>
      <c r="E59" s="32" t="s">
        <v>87</v>
      </c>
      <c r="I59" s="2"/>
    </row>
    <row r="60" spans="2:9" s="3" customFormat="1" x14ac:dyDescent="0.3">
      <c r="B60" s="2"/>
      <c r="E60" s="22"/>
      <c r="I60" s="2"/>
    </row>
    <row r="61" spans="2:9" s="3" customFormat="1" x14ac:dyDescent="0.3">
      <c r="B61" s="18" t="s">
        <v>48</v>
      </c>
      <c r="E61" s="22"/>
      <c r="I61" s="2"/>
    </row>
    <row r="62" spans="2:9" s="3" customFormat="1" x14ac:dyDescent="0.3">
      <c r="B62" s="2"/>
      <c r="D62" s="41" t="s">
        <v>80</v>
      </c>
      <c r="F62" s="41" t="s">
        <v>85</v>
      </c>
      <c r="I62" s="2"/>
    </row>
    <row r="63" spans="2:9" s="3" customFormat="1" ht="14.4" customHeight="1" x14ac:dyDescent="0.3">
      <c r="B63" s="19" t="s">
        <v>7</v>
      </c>
      <c r="C63" s="27" t="s">
        <v>47</v>
      </c>
      <c r="D63" s="24">
        <f>I20</f>
        <v>4876</v>
      </c>
      <c r="E63" s="22"/>
      <c r="F63" s="49" t="s">
        <v>86</v>
      </c>
      <c r="I63" s="2"/>
    </row>
    <row r="64" spans="2:9" s="3" customFormat="1" ht="14.4" customHeight="1" x14ac:dyDescent="0.3">
      <c r="B64" s="19" t="s">
        <v>42</v>
      </c>
      <c r="C64" s="27" t="s">
        <v>43</v>
      </c>
      <c r="D64" s="20">
        <v>5000</v>
      </c>
      <c r="F64" s="50"/>
      <c r="I64" s="2"/>
    </row>
    <row r="65" spans="2:9" s="3" customFormat="1" x14ac:dyDescent="0.3">
      <c r="B65" s="19" t="s">
        <v>44</v>
      </c>
      <c r="C65" s="27" t="s">
        <v>45</v>
      </c>
      <c r="D65" s="21">
        <v>0.65</v>
      </c>
      <c r="F65" s="21">
        <v>0.6</v>
      </c>
      <c r="I65" s="2"/>
    </row>
    <row r="66" spans="2:9" s="3" customFormat="1" x14ac:dyDescent="0.3">
      <c r="B66" s="19" t="s">
        <v>70</v>
      </c>
      <c r="C66" s="27" t="s">
        <v>46</v>
      </c>
      <c r="D66" s="23">
        <f>1000*D63/(D64*D65)</f>
        <v>1500.3076923076924</v>
      </c>
      <c r="E66" s="32"/>
      <c r="F66" s="23">
        <f>D66*(1+F65)</f>
        <v>2400.4923076923078</v>
      </c>
      <c r="G66" s="2"/>
      <c r="I66" s="2"/>
    </row>
    <row r="67" spans="2:9" s="3" customFormat="1" x14ac:dyDescent="0.3">
      <c r="B67" s="32"/>
      <c r="C67" s="32"/>
      <c r="D67" s="32"/>
      <c r="E67" s="32"/>
      <c r="G67" s="2"/>
      <c r="I67" s="2"/>
    </row>
    <row r="68" spans="2:9" x14ac:dyDescent="0.3">
      <c r="B68" s="19" t="s">
        <v>64</v>
      </c>
      <c r="C68" s="27" t="s">
        <v>45</v>
      </c>
      <c r="D68" s="21">
        <v>0.8</v>
      </c>
      <c r="E68" s="32"/>
      <c r="F68" s="21">
        <v>0.8</v>
      </c>
    </row>
    <row r="69" spans="2:9" x14ac:dyDescent="0.3">
      <c r="B69" s="19" t="s">
        <v>65</v>
      </c>
      <c r="C69" s="27" t="s">
        <v>26</v>
      </c>
      <c r="D69" s="23">
        <f>D66*D68/D30</f>
        <v>25.005128205128205</v>
      </c>
      <c r="E69" s="32"/>
      <c r="F69" s="23">
        <f>F66*F68/D30</f>
        <v>40.008205128205134</v>
      </c>
    </row>
    <row r="71" spans="2:9" s="3" customFormat="1" x14ac:dyDescent="0.3">
      <c r="B71" s="18" t="s">
        <v>67</v>
      </c>
      <c r="I71" s="2"/>
    </row>
    <row r="73" spans="2:9" s="3" customFormat="1" x14ac:dyDescent="0.3">
      <c r="B73" s="19" t="s">
        <v>55</v>
      </c>
      <c r="C73" s="27" t="s">
        <v>46</v>
      </c>
      <c r="D73" s="20">
        <v>330</v>
      </c>
      <c r="I73" s="2"/>
    </row>
    <row r="74" spans="2:9" s="3" customFormat="1" x14ac:dyDescent="0.3">
      <c r="B74" s="19" t="s">
        <v>57</v>
      </c>
      <c r="C74" s="27" t="s">
        <v>56</v>
      </c>
      <c r="D74" s="36">
        <v>44.72</v>
      </c>
      <c r="I74" s="2"/>
    </row>
    <row r="75" spans="2:9" s="3" customFormat="1" x14ac:dyDescent="0.3">
      <c r="B75" s="19" t="s">
        <v>59</v>
      </c>
      <c r="C75" s="27" t="s">
        <v>56</v>
      </c>
      <c r="D75" s="36">
        <v>37.299999999999997</v>
      </c>
      <c r="I75" s="2"/>
    </row>
    <row r="76" spans="2:9" s="3" customFormat="1" x14ac:dyDescent="0.3">
      <c r="B76" s="19" t="s">
        <v>58</v>
      </c>
      <c r="C76" s="27" t="s">
        <v>56</v>
      </c>
      <c r="D76" s="20">
        <v>150</v>
      </c>
      <c r="I76" s="2"/>
    </row>
    <row r="77" spans="2:9" s="3" customFormat="1" x14ac:dyDescent="0.3">
      <c r="B77" s="19" t="s">
        <v>61</v>
      </c>
      <c r="C77" s="27" t="s">
        <v>35</v>
      </c>
      <c r="D77" s="23">
        <f>ROUNDDOWN(D76/D74,0)</f>
        <v>3</v>
      </c>
      <c r="E77" s="32" t="s">
        <v>88</v>
      </c>
      <c r="I77" s="2"/>
    </row>
    <row r="78" spans="2:9" s="3" customFormat="1" x14ac:dyDescent="0.3">
      <c r="B78" s="19" t="s">
        <v>60</v>
      </c>
      <c r="C78" s="27" t="s">
        <v>35</v>
      </c>
      <c r="D78" s="23">
        <f>ROUNDUP(D30*2/D75,0)</f>
        <v>3</v>
      </c>
      <c r="E78" s="32" t="s">
        <v>68</v>
      </c>
      <c r="I78" s="2"/>
    </row>
    <row r="79" spans="2:9" s="3" customFormat="1" x14ac:dyDescent="0.3">
      <c r="B79" s="19" t="s">
        <v>73</v>
      </c>
      <c r="C79" s="27" t="s">
        <v>35</v>
      </c>
      <c r="D79" s="20">
        <v>3</v>
      </c>
      <c r="I79" s="2"/>
    </row>
    <row r="80" spans="2:9" s="3" customFormat="1" x14ac:dyDescent="0.3">
      <c r="B80" s="19" t="s">
        <v>74</v>
      </c>
      <c r="C80" s="27" t="s">
        <v>35</v>
      </c>
      <c r="D80" s="20">
        <v>2</v>
      </c>
      <c r="I80" s="2"/>
    </row>
    <row r="81" spans="2:9" s="3" customFormat="1" x14ac:dyDescent="0.3">
      <c r="B81" s="19" t="s">
        <v>66</v>
      </c>
      <c r="C81" s="27" t="s">
        <v>35</v>
      </c>
      <c r="D81" s="23">
        <f>D79*D80</f>
        <v>6</v>
      </c>
      <c r="I81" s="2"/>
    </row>
    <row r="82" spans="2:9" s="3" customFormat="1" x14ac:dyDescent="0.3">
      <c r="B82" s="19" t="s">
        <v>62</v>
      </c>
      <c r="C82" s="27" t="s">
        <v>46</v>
      </c>
      <c r="D82" s="23">
        <f>D79*D80*D73</f>
        <v>1980</v>
      </c>
      <c r="I82" s="2"/>
    </row>
    <row r="83" spans="2:9" s="3" customFormat="1" x14ac:dyDescent="0.3">
      <c r="B83" s="19" t="s">
        <v>64</v>
      </c>
      <c r="C83" s="27" t="s">
        <v>45</v>
      </c>
      <c r="D83" s="21">
        <v>0.8</v>
      </c>
      <c r="E83" s="32" t="s">
        <v>69</v>
      </c>
      <c r="I83" s="2"/>
    </row>
    <row r="84" spans="2:9" s="3" customFormat="1" x14ac:dyDescent="0.3">
      <c r="B84" s="19" t="s">
        <v>63</v>
      </c>
      <c r="C84" s="27" t="s">
        <v>26</v>
      </c>
      <c r="D84" s="23">
        <f>D82*D83/D30</f>
        <v>33</v>
      </c>
      <c r="E84" s="32"/>
      <c r="I84" s="2"/>
    </row>
    <row r="85" spans="2:9" s="3" customFormat="1" x14ac:dyDescent="0.3">
      <c r="B85" s="19" t="s">
        <v>96</v>
      </c>
      <c r="C85" s="27" t="s">
        <v>71</v>
      </c>
      <c r="D85" s="37">
        <f>D82/D66</f>
        <v>1.3197292863002461</v>
      </c>
      <c r="I85" s="2"/>
    </row>
  </sheetData>
  <mergeCells count="5">
    <mergeCell ref="C20:E20"/>
    <mergeCell ref="D22:E22"/>
    <mergeCell ref="F25:F27"/>
    <mergeCell ref="G25:G27"/>
    <mergeCell ref="F63:F6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3202-0D83-4913-9F67-509A95EF4707}">
  <dimension ref="B1:I85"/>
  <sheetViews>
    <sheetView showGridLines="0" topLeftCell="A30" zoomScale="115" zoomScaleNormal="115" workbookViewId="0">
      <selection activeCell="E45" sqref="E45"/>
    </sheetView>
  </sheetViews>
  <sheetFormatPr baseColWidth="10" defaultRowHeight="15.05" x14ac:dyDescent="0.3"/>
  <cols>
    <col min="1" max="1" width="2.44140625" style="2" customWidth="1"/>
    <col min="2" max="2" width="36" style="2" bestFit="1" customWidth="1"/>
    <col min="3" max="8" width="15.6640625" style="3" customWidth="1"/>
    <col min="9" max="9" width="15.6640625" style="2" customWidth="1"/>
    <col min="10" max="16384" width="11.5546875" style="2"/>
  </cols>
  <sheetData>
    <row r="1" spans="2:9" s="33" customFormat="1" ht="19.149999999999999" customHeight="1" x14ac:dyDescent="0.3">
      <c r="B1" s="35" t="s">
        <v>54</v>
      </c>
      <c r="C1" s="34"/>
      <c r="D1" s="34"/>
      <c r="E1" s="34"/>
      <c r="F1" s="34"/>
      <c r="G1" s="34"/>
      <c r="H1" s="34"/>
    </row>
    <row r="3" spans="2:9" ht="14.4" x14ac:dyDescent="0.3">
      <c r="B3" s="18" t="s">
        <v>14</v>
      </c>
    </row>
    <row r="5" spans="2:9" s="4" customFormat="1" ht="49.25" customHeight="1" x14ac:dyDescent="0.3">
      <c r="B5" s="5" t="s">
        <v>0</v>
      </c>
      <c r="C5" s="1" t="s">
        <v>4</v>
      </c>
      <c r="D5" s="1" t="s">
        <v>9</v>
      </c>
      <c r="E5" s="1" t="s">
        <v>3</v>
      </c>
      <c r="F5" s="1" t="s">
        <v>10</v>
      </c>
      <c r="G5" s="1" t="s">
        <v>13</v>
      </c>
      <c r="H5" s="1" t="s">
        <v>6</v>
      </c>
      <c r="I5" s="1" t="s">
        <v>7</v>
      </c>
    </row>
    <row r="6" spans="2:9" x14ac:dyDescent="0.3">
      <c r="B6" s="6" t="s">
        <v>1</v>
      </c>
      <c r="C6" s="7" t="s">
        <v>34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12</v>
      </c>
      <c r="I6" s="7" t="s">
        <v>8</v>
      </c>
    </row>
    <row r="7" spans="2:9" ht="14.4" x14ac:dyDescent="0.3">
      <c r="B7" s="8" t="s">
        <v>51</v>
      </c>
      <c r="C7" s="9">
        <v>12</v>
      </c>
      <c r="D7" s="9">
        <v>36</v>
      </c>
      <c r="E7" s="9">
        <v>36</v>
      </c>
      <c r="F7" s="13">
        <f>C7*D7</f>
        <v>432</v>
      </c>
      <c r="G7" s="13">
        <f>C7*E7</f>
        <v>432</v>
      </c>
      <c r="H7" s="9">
        <v>7</v>
      </c>
      <c r="I7" s="13">
        <f>C7*D7*H7</f>
        <v>3024</v>
      </c>
    </row>
    <row r="8" spans="2:9" ht="14.4" x14ac:dyDescent="0.3">
      <c r="B8" s="8" t="s">
        <v>50</v>
      </c>
      <c r="C8" s="9">
        <v>4</v>
      </c>
      <c r="D8" s="9">
        <v>18</v>
      </c>
      <c r="E8" s="9">
        <v>18</v>
      </c>
      <c r="F8" s="13">
        <f t="shared" ref="F8:F19" si="0">C8*D8</f>
        <v>72</v>
      </c>
      <c r="G8" s="13">
        <f t="shared" ref="G8:G19" si="1">C8*E8</f>
        <v>72</v>
      </c>
      <c r="H8" s="9">
        <v>7</v>
      </c>
      <c r="I8" s="13">
        <f t="shared" ref="I8:I19" si="2">C8*D8*H8</f>
        <v>504</v>
      </c>
    </row>
    <row r="9" spans="2:9" ht="14.4" x14ac:dyDescent="0.3">
      <c r="B9" s="8" t="s">
        <v>52</v>
      </c>
      <c r="C9" s="9">
        <v>6</v>
      </c>
      <c r="D9" s="9">
        <v>36</v>
      </c>
      <c r="E9" s="9">
        <v>36</v>
      </c>
      <c r="F9" s="13">
        <f t="shared" si="0"/>
        <v>216</v>
      </c>
      <c r="G9" s="13">
        <f t="shared" si="1"/>
        <v>216</v>
      </c>
      <c r="H9" s="9">
        <v>11</v>
      </c>
      <c r="I9" s="13">
        <f t="shared" si="2"/>
        <v>2376</v>
      </c>
    </row>
    <row r="10" spans="2:9" ht="14.4" x14ac:dyDescent="0.3">
      <c r="B10" s="8" t="s">
        <v>53</v>
      </c>
      <c r="C10" s="9">
        <v>2</v>
      </c>
      <c r="D10" s="9">
        <v>50</v>
      </c>
      <c r="E10" s="9">
        <v>50</v>
      </c>
      <c r="F10" s="13">
        <f t="shared" si="0"/>
        <v>100</v>
      </c>
      <c r="G10" s="13">
        <f t="shared" si="1"/>
        <v>100</v>
      </c>
      <c r="H10" s="9">
        <v>8</v>
      </c>
      <c r="I10" s="13">
        <f t="shared" si="2"/>
        <v>800</v>
      </c>
    </row>
    <row r="11" spans="2:9" ht="14.4" x14ac:dyDescent="0.3">
      <c r="B11" s="8" t="s">
        <v>97</v>
      </c>
      <c r="C11" s="9">
        <v>1</v>
      </c>
      <c r="D11" s="9">
        <v>60</v>
      </c>
      <c r="E11" s="9">
        <v>120</v>
      </c>
      <c r="F11" s="13">
        <f>C11*D11</f>
        <v>60</v>
      </c>
      <c r="G11" s="13">
        <f>C11*E11</f>
        <v>120</v>
      </c>
      <c r="H11" s="9">
        <v>0.5</v>
      </c>
      <c r="I11" s="13">
        <f>C11*D11*H11</f>
        <v>30</v>
      </c>
    </row>
    <row r="12" spans="2:9" ht="14.4" x14ac:dyDescent="0.3">
      <c r="B12" s="8" t="s">
        <v>49</v>
      </c>
      <c r="C12" s="9">
        <v>8</v>
      </c>
      <c r="D12" s="9">
        <v>60</v>
      </c>
      <c r="E12" s="9">
        <v>60</v>
      </c>
      <c r="F12" s="13">
        <f>C12*D12</f>
        <v>480</v>
      </c>
      <c r="G12" s="13">
        <f>C12*E12</f>
        <v>480</v>
      </c>
      <c r="H12" s="9">
        <v>4</v>
      </c>
      <c r="I12" s="13">
        <f>C12*D12*H12</f>
        <v>1920</v>
      </c>
    </row>
    <row r="13" spans="2:9" x14ac:dyDescent="0.3">
      <c r="B13" s="8" t="s">
        <v>77</v>
      </c>
      <c r="C13" s="9">
        <v>1</v>
      </c>
      <c r="D13" s="9">
        <v>200</v>
      </c>
      <c r="E13" s="9">
        <v>600</v>
      </c>
      <c r="F13" s="13">
        <f>C13*D13</f>
        <v>200</v>
      </c>
      <c r="G13" s="13">
        <f>C13*E13</f>
        <v>600</v>
      </c>
      <c r="H13" s="9">
        <v>12</v>
      </c>
      <c r="I13" s="13">
        <f>C13*D13*H13</f>
        <v>2400</v>
      </c>
    </row>
    <row r="14" spans="2:9" x14ac:dyDescent="0.3">
      <c r="B14" s="8" t="s">
        <v>75</v>
      </c>
      <c r="C14" s="9">
        <v>1</v>
      </c>
      <c r="D14" s="9">
        <v>1400</v>
      </c>
      <c r="E14" s="9">
        <v>1400</v>
      </c>
      <c r="F14" s="13">
        <f t="shared" si="0"/>
        <v>1400</v>
      </c>
      <c r="G14" s="13">
        <f t="shared" si="1"/>
        <v>1400</v>
      </c>
      <c r="H14" s="9">
        <v>1</v>
      </c>
      <c r="I14" s="13">
        <f t="shared" si="2"/>
        <v>1400</v>
      </c>
    </row>
    <row r="15" spans="2:9" ht="14.4" x14ac:dyDescent="0.3">
      <c r="B15" s="8" t="s">
        <v>78</v>
      </c>
      <c r="C15" s="9">
        <v>1</v>
      </c>
      <c r="D15" s="9">
        <v>25</v>
      </c>
      <c r="E15" s="9">
        <v>60</v>
      </c>
      <c r="F15" s="13">
        <f t="shared" si="0"/>
        <v>25</v>
      </c>
      <c r="G15" s="13">
        <f t="shared" si="1"/>
        <v>60</v>
      </c>
      <c r="H15" s="9">
        <v>0.5</v>
      </c>
      <c r="I15" s="13">
        <f t="shared" si="2"/>
        <v>12.5</v>
      </c>
    </row>
    <row r="16" spans="2:9" ht="14.4" x14ac:dyDescent="0.3">
      <c r="B16" s="8" t="s">
        <v>98</v>
      </c>
      <c r="C16" s="9">
        <v>2</v>
      </c>
      <c r="D16" s="9">
        <v>15</v>
      </c>
      <c r="E16" s="9">
        <v>15</v>
      </c>
      <c r="F16" s="13">
        <f t="shared" si="0"/>
        <v>30</v>
      </c>
      <c r="G16" s="13">
        <f t="shared" si="1"/>
        <v>30</v>
      </c>
      <c r="H16" s="9">
        <v>1</v>
      </c>
      <c r="I16" s="13">
        <f t="shared" si="2"/>
        <v>30</v>
      </c>
    </row>
    <row r="17" spans="2:9" ht="14.4" x14ac:dyDescent="0.3">
      <c r="B17" s="8" t="s">
        <v>99</v>
      </c>
      <c r="C17" s="9">
        <v>1</v>
      </c>
      <c r="D17" s="9">
        <v>100</v>
      </c>
      <c r="E17" s="9">
        <v>150</v>
      </c>
      <c r="F17" s="13">
        <f t="shared" si="0"/>
        <v>100</v>
      </c>
      <c r="G17" s="13">
        <f t="shared" si="1"/>
        <v>150</v>
      </c>
      <c r="H17" s="9">
        <v>0.5</v>
      </c>
      <c r="I17" s="13">
        <f t="shared" si="2"/>
        <v>50</v>
      </c>
    </row>
    <row r="18" spans="2:9" ht="14.4" x14ac:dyDescent="0.3">
      <c r="B18" s="8"/>
      <c r="C18" s="9"/>
      <c r="D18" s="9"/>
      <c r="E18" s="9"/>
      <c r="F18" s="13">
        <f t="shared" si="0"/>
        <v>0</v>
      </c>
      <c r="G18" s="13">
        <f t="shared" si="1"/>
        <v>0</v>
      </c>
      <c r="H18" s="9"/>
      <c r="I18" s="13">
        <f t="shared" si="2"/>
        <v>0</v>
      </c>
    </row>
    <row r="19" spans="2:9" ht="14.4" x14ac:dyDescent="0.3">
      <c r="B19" s="8"/>
      <c r="C19" s="9"/>
      <c r="D19" s="9"/>
      <c r="E19" s="9"/>
      <c r="F19" s="13">
        <f t="shared" si="0"/>
        <v>0</v>
      </c>
      <c r="G19" s="13">
        <f t="shared" si="1"/>
        <v>0</v>
      </c>
      <c r="H19" s="9"/>
      <c r="I19" s="13">
        <f t="shared" si="2"/>
        <v>0</v>
      </c>
    </row>
    <row r="20" spans="2:9" s="10" customFormat="1" ht="14.4" x14ac:dyDescent="0.3">
      <c r="B20" s="11" t="s">
        <v>5</v>
      </c>
      <c r="C20" s="43"/>
      <c r="D20" s="44"/>
      <c r="E20" s="45"/>
      <c r="F20" s="15">
        <f>SUM(F7:F19)</f>
        <v>3115</v>
      </c>
      <c r="G20" s="15">
        <f>SUM(G7:G19)</f>
        <v>3660</v>
      </c>
      <c r="H20" s="12"/>
      <c r="I20" s="16">
        <f>SUM(I7:I19)</f>
        <v>12546.5</v>
      </c>
    </row>
    <row r="22" spans="2:9" x14ac:dyDescent="0.3">
      <c r="D22" s="46" t="s">
        <v>11</v>
      </c>
      <c r="E22" s="46"/>
      <c r="F22" s="14">
        <v>0.8</v>
      </c>
      <c r="G22" s="14">
        <v>0.8</v>
      </c>
    </row>
    <row r="23" spans="2:9" ht="14.4" customHeight="1" x14ac:dyDescent="0.3"/>
    <row r="24" spans="2:9" ht="14.4" x14ac:dyDescent="0.3">
      <c r="E24" s="11" t="s">
        <v>5</v>
      </c>
      <c r="F24" s="17">
        <f>F20*F22</f>
        <v>2492</v>
      </c>
      <c r="G24" s="17">
        <f>G20*G22</f>
        <v>2928</v>
      </c>
    </row>
    <row r="25" spans="2:9" x14ac:dyDescent="0.3">
      <c r="F25" s="47" t="s">
        <v>40</v>
      </c>
      <c r="G25" s="47" t="s">
        <v>41</v>
      </c>
      <c r="H25" s="2"/>
    </row>
    <row r="26" spans="2:9" x14ac:dyDescent="0.3">
      <c r="F26" s="48"/>
      <c r="G26" s="48"/>
      <c r="H26" s="2"/>
    </row>
    <row r="27" spans="2:9" x14ac:dyDescent="0.3">
      <c r="F27" s="48"/>
      <c r="G27" s="48"/>
      <c r="H27" s="2"/>
    </row>
    <row r="28" spans="2:9" ht="14.4" customHeight="1" x14ac:dyDescent="0.3">
      <c r="B28" s="18" t="s">
        <v>15</v>
      </c>
      <c r="C28" s="2"/>
      <c r="D28" s="2"/>
      <c r="E28" s="2"/>
      <c r="F28" s="2"/>
      <c r="G28" s="2"/>
      <c r="H28" s="2"/>
    </row>
    <row r="29" spans="2:9" x14ac:dyDescent="0.3">
      <c r="C29" s="26" t="s">
        <v>38</v>
      </c>
      <c r="D29" s="2"/>
      <c r="E29" s="2"/>
      <c r="F29" s="2"/>
      <c r="G29" s="2"/>
      <c r="H29" s="2"/>
    </row>
    <row r="30" spans="2:9" x14ac:dyDescent="0.3">
      <c r="B30" s="19" t="s">
        <v>16</v>
      </c>
      <c r="C30" s="27" t="s">
        <v>19</v>
      </c>
      <c r="D30" s="20">
        <v>48</v>
      </c>
      <c r="E30" s="32" t="s">
        <v>72</v>
      </c>
      <c r="F30" s="2"/>
      <c r="G30" s="2"/>
      <c r="H30" s="2"/>
    </row>
    <row r="31" spans="2:9" x14ac:dyDescent="0.3">
      <c r="B31" s="19" t="s">
        <v>36</v>
      </c>
      <c r="C31" s="27" t="s">
        <v>19</v>
      </c>
      <c r="D31" s="20">
        <v>12</v>
      </c>
      <c r="E31" s="32" t="s">
        <v>39</v>
      </c>
      <c r="F31" s="2"/>
      <c r="G31" s="2"/>
      <c r="H31" s="2"/>
    </row>
    <row r="32" spans="2:9" x14ac:dyDescent="0.3">
      <c r="B32" s="19" t="s">
        <v>33</v>
      </c>
      <c r="C32" s="27" t="s">
        <v>35</v>
      </c>
      <c r="D32" s="24">
        <f>D30/D31</f>
        <v>4</v>
      </c>
      <c r="E32" s="32"/>
      <c r="F32" s="2"/>
      <c r="G32" s="2"/>
      <c r="H32" s="2"/>
    </row>
    <row r="33" spans="2:8" x14ac:dyDescent="0.3">
      <c r="B33" s="19" t="s">
        <v>17</v>
      </c>
      <c r="C33" s="27" t="s">
        <v>18</v>
      </c>
      <c r="D33" s="20">
        <v>2</v>
      </c>
      <c r="E33" s="25"/>
      <c r="F33" s="2"/>
      <c r="G33" s="2"/>
      <c r="H33" s="2"/>
    </row>
    <row r="34" spans="2:8" x14ac:dyDescent="0.3">
      <c r="B34" s="19" t="s">
        <v>20</v>
      </c>
      <c r="C34" s="27" t="s">
        <v>32</v>
      </c>
      <c r="D34" s="21">
        <v>0.5</v>
      </c>
      <c r="E34" s="25"/>
      <c r="F34" s="2"/>
      <c r="G34" s="2"/>
      <c r="H34" s="2"/>
    </row>
    <row r="35" spans="2:8" x14ac:dyDescent="0.3">
      <c r="B35" s="19" t="s">
        <v>27</v>
      </c>
      <c r="C35" s="28" t="s">
        <v>28</v>
      </c>
      <c r="D35" s="20" t="s">
        <v>31</v>
      </c>
      <c r="E35" s="25"/>
      <c r="F35" s="2"/>
      <c r="G35" s="2"/>
      <c r="H35" s="2"/>
    </row>
    <row r="36" spans="2:8" x14ac:dyDescent="0.3">
      <c r="C36" s="29"/>
      <c r="D36" s="2"/>
      <c r="E36" s="25"/>
      <c r="F36" s="2"/>
      <c r="G36" s="2"/>
      <c r="H36" s="2"/>
    </row>
    <row r="37" spans="2:8" x14ac:dyDescent="0.3">
      <c r="C37" s="29"/>
      <c r="D37" s="41" t="s">
        <v>83</v>
      </c>
      <c r="E37" s="25"/>
      <c r="F37" s="2"/>
      <c r="G37" s="2"/>
      <c r="H37" s="2"/>
    </row>
    <row r="38" spans="2:8" x14ac:dyDescent="0.3">
      <c r="B38" s="19" t="s">
        <v>90</v>
      </c>
      <c r="C38" s="27" t="s">
        <v>21</v>
      </c>
      <c r="D38" s="31">
        <f>I20*D33/D34</f>
        <v>50186</v>
      </c>
      <c r="E38" s="22"/>
    </row>
    <row r="39" spans="2:8" x14ac:dyDescent="0.3">
      <c r="B39" s="19" t="s">
        <v>90</v>
      </c>
      <c r="C39" s="27" t="s">
        <v>22</v>
      </c>
      <c r="D39" s="23">
        <f>D38/D30</f>
        <v>1045.5416666666667</v>
      </c>
      <c r="E39" s="22"/>
    </row>
    <row r="40" spans="2:8" x14ac:dyDescent="0.3">
      <c r="C40" s="30"/>
      <c r="E40" s="22"/>
    </row>
    <row r="41" spans="2:8" x14ac:dyDescent="0.3">
      <c r="C41" s="30"/>
      <c r="D41" s="41" t="s">
        <v>94</v>
      </c>
      <c r="E41" s="22"/>
    </row>
    <row r="42" spans="2:8" x14ac:dyDescent="0.3">
      <c r="B42" s="19" t="s">
        <v>91</v>
      </c>
      <c r="C42" s="27" t="s">
        <v>22</v>
      </c>
      <c r="D42" s="20">
        <v>220</v>
      </c>
      <c r="E42" s="22"/>
    </row>
    <row r="43" spans="2:8" x14ac:dyDescent="0.3">
      <c r="B43" s="19" t="s">
        <v>92</v>
      </c>
      <c r="C43" s="27" t="s">
        <v>35</v>
      </c>
      <c r="D43" s="20">
        <v>2</v>
      </c>
      <c r="E43" s="22"/>
    </row>
    <row r="44" spans="2:8" x14ac:dyDescent="0.3">
      <c r="B44" s="19" t="s">
        <v>93</v>
      </c>
      <c r="C44" s="27" t="s">
        <v>35</v>
      </c>
      <c r="D44" s="31">
        <f>D43*D32</f>
        <v>8</v>
      </c>
      <c r="E44" s="22"/>
    </row>
    <row r="45" spans="2:8" x14ac:dyDescent="0.3">
      <c r="B45" s="19" t="s">
        <v>90</v>
      </c>
      <c r="C45" s="27" t="s">
        <v>22</v>
      </c>
      <c r="D45" s="31">
        <f>D43*D42</f>
        <v>440</v>
      </c>
      <c r="E45" s="22"/>
    </row>
    <row r="46" spans="2:8" x14ac:dyDescent="0.3">
      <c r="B46" s="19" t="s">
        <v>90</v>
      </c>
      <c r="C46" s="27" t="s">
        <v>21</v>
      </c>
      <c r="D46" s="23">
        <f>D45*tension_banc</f>
        <v>21120</v>
      </c>
      <c r="E46" s="22"/>
    </row>
    <row r="47" spans="2:8" x14ac:dyDescent="0.3">
      <c r="B47" s="19" t="s">
        <v>95</v>
      </c>
      <c r="C47" s="27" t="s">
        <v>45</v>
      </c>
      <c r="D47" s="42">
        <f>D46/D38</f>
        <v>0.42083449567608494</v>
      </c>
      <c r="E47" s="22"/>
    </row>
    <row r="48" spans="2:8" x14ac:dyDescent="0.3">
      <c r="B48" s="38"/>
      <c r="C48" s="39"/>
      <c r="D48" s="22"/>
      <c r="E48" s="22"/>
    </row>
    <row r="49" spans="2:9" x14ac:dyDescent="0.3">
      <c r="B49" s="40" t="s">
        <v>79</v>
      </c>
      <c r="C49" s="30"/>
      <c r="E49" s="22"/>
    </row>
    <row r="50" spans="2:9" x14ac:dyDescent="0.3">
      <c r="C50" s="30"/>
      <c r="D50" s="41" t="s">
        <v>83</v>
      </c>
      <c r="E50" s="41" t="s">
        <v>84</v>
      </c>
    </row>
    <row r="51" spans="2:9" x14ac:dyDescent="0.3">
      <c r="B51" s="19" t="s">
        <v>24</v>
      </c>
      <c r="C51" s="27" t="s">
        <v>30</v>
      </c>
      <c r="D51" s="21">
        <v>0.1</v>
      </c>
      <c r="E51" s="21">
        <v>0.2</v>
      </c>
      <c r="F51" s="32" t="s">
        <v>82</v>
      </c>
    </row>
    <row r="52" spans="2:9" x14ac:dyDescent="0.3">
      <c r="B52" s="19" t="s">
        <v>24</v>
      </c>
      <c r="C52" s="27" t="s">
        <v>26</v>
      </c>
      <c r="D52" s="23">
        <f>D51*D45</f>
        <v>44</v>
      </c>
      <c r="E52" s="23">
        <f>E51*D45</f>
        <v>88</v>
      </c>
    </row>
    <row r="53" spans="2:9" x14ac:dyDescent="0.3">
      <c r="B53" s="19" t="s">
        <v>25</v>
      </c>
      <c r="C53" s="27" t="s">
        <v>2</v>
      </c>
      <c r="D53" s="24">
        <f>D52*tension_banc</f>
        <v>2112</v>
      </c>
      <c r="E53" s="24">
        <f>E52*tension_banc</f>
        <v>4224</v>
      </c>
      <c r="F53" s="32" t="s">
        <v>89</v>
      </c>
    </row>
    <row r="54" spans="2:9" x14ac:dyDescent="0.3">
      <c r="C54" s="30"/>
      <c r="E54" s="22"/>
    </row>
    <row r="55" spans="2:9" x14ac:dyDescent="0.3">
      <c r="B55" s="40" t="s">
        <v>81</v>
      </c>
      <c r="C55" s="30"/>
      <c r="E55" s="22"/>
    </row>
    <row r="56" spans="2:9" x14ac:dyDescent="0.3">
      <c r="C56" s="30"/>
      <c r="E56" s="22"/>
    </row>
    <row r="57" spans="2:9" x14ac:dyDescent="0.3">
      <c r="B57" s="19" t="s">
        <v>23</v>
      </c>
      <c r="C57" s="27" t="s">
        <v>30</v>
      </c>
      <c r="D57" s="21">
        <v>0.33</v>
      </c>
      <c r="E57" s="32" t="s">
        <v>37</v>
      </c>
    </row>
    <row r="58" spans="2:9" s="3" customFormat="1" x14ac:dyDescent="0.3">
      <c r="B58" s="19" t="s">
        <v>23</v>
      </c>
      <c r="C58" s="27" t="s">
        <v>26</v>
      </c>
      <c r="D58" s="23">
        <f>D57*D45</f>
        <v>145.20000000000002</v>
      </c>
      <c r="E58" s="22"/>
      <c r="I58" s="2"/>
    </row>
    <row r="59" spans="2:9" s="3" customFormat="1" x14ac:dyDescent="0.3">
      <c r="B59" s="19" t="s">
        <v>29</v>
      </c>
      <c r="C59" s="27" t="s">
        <v>2</v>
      </c>
      <c r="D59" s="24">
        <f>D58*tension_banc</f>
        <v>6969.6</v>
      </c>
      <c r="E59" s="32" t="s">
        <v>87</v>
      </c>
      <c r="I59" s="2"/>
    </row>
    <row r="60" spans="2:9" s="3" customFormat="1" x14ac:dyDescent="0.3">
      <c r="B60" s="2"/>
      <c r="E60" s="22"/>
      <c r="I60" s="2"/>
    </row>
    <row r="61" spans="2:9" s="3" customFormat="1" x14ac:dyDescent="0.3">
      <c r="B61" s="18" t="s">
        <v>48</v>
      </c>
      <c r="E61" s="22"/>
      <c r="I61" s="2"/>
    </row>
    <row r="62" spans="2:9" s="3" customFormat="1" x14ac:dyDescent="0.3">
      <c r="B62" s="2"/>
      <c r="D62" s="41" t="s">
        <v>80</v>
      </c>
      <c r="F62" s="41" t="s">
        <v>85</v>
      </c>
      <c r="I62" s="2"/>
    </row>
    <row r="63" spans="2:9" s="3" customFormat="1" ht="14.4" customHeight="1" x14ac:dyDescent="0.3">
      <c r="B63" s="19" t="s">
        <v>7</v>
      </c>
      <c r="C63" s="27" t="s">
        <v>47</v>
      </c>
      <c r="D63" s="24">
        <f>I20</f>
        <v>12546.5</v>
      </c>
      <c r="E63" s="22"/>
      <c r="F63" s="49" t="s">
        <v>86</v>
      </c>
      <c r="I63" s="2"/>
    </row>
    <row r="64" spans="2:9" s="3" customFormat="1" ht="14.4" customHeight="1" x14ac:dyDescent="0.3">
      <c r="B64" s="19" t="s">
        <v>42</v>
      </c>
      <c r="C64" s="27" t="s">
        <v>43</v>
      </c>
      <c r="D64" s="20">
        <v>5000</v>
      </c>
      <c r="F64" s="50"/>
      <c r="I64" s="2"/>
    </row>
    <row r="65" spans="2:9" s="3" customFormat="1" x14ac:dyDescent="0.3">
      <c r="B65" s="19" t="s">
        <v>44</v>
      </c>
      <c r="C65" s="27" t="s">
        <v>45</v>
      </c>
      <c r="D65" s="21">
        <v>0.65</v>
      </c>
      <c r="F65" s="21">
        <v>0.6</v>
      </c>
      <c r="I65" s="2"/>
    </row>
    <row r="66" spans="2:9" s="3" customFormat="1" x14ac:dyDescent="0.3">
      <c r="B66" s="19" t="s">
        <v>70</v>
      </c>
      <c r="C66" s="27" t="s">
        <v>46</v>
      </c>
      <c r="D66" s="23">
        <f>1000*D63/(D64*D65)</f>
        <v>3860.4615384615386</v>
      </c>
      <c r="E66" s="32"/>
      <c r="F66" s="23">
        <f>D66*(1+F65)</f>
        <v>6176.7384615384617</v>
      </c>
      <c r="G66" s="2"/>
      <c r="I66" s="2"/>
    </row>
    <row r="67" spans="2:9" s="3" customFormat="1" x14ac:dyDescent="0.3">
      <c r="B67" s="32"/>
      <c r="C67" s="32"/>
      <c r="D67" s="32"/>
      <c r="E67" s="32"/>
      <c r="G67" s="2"/>
      <c r="I67" s="2"/>
    </row>
    <row r="68" spans="2:9" x14ac:dyDescent="0.3">
      <c r="B68" s="19" t="s">
        <v>64</v>
      </c>
      <c r="C68" s="27" t="s">
        <v>45</v>
      </c>
      <c r="D68" s="21">
        <v>0.8</v>
      </c>
      <c r="E68" s="32"/>
      <c r="F68" s="21">
        <v>0.8</v>
      </c>
    </row>
    <row r="69" spans="2:9" x14ac:dyDescent="0.3">
      <c r="B69" s="19" t="s">
        <v>65</v>
      </c>
      <c r="C69" s="27" t="s">
        <v>26</v>
      </c>
      <c r="D69" s="23">
        <f>D66*D68/D30</f>
        <v>64.341025641025638</v>
      </c>
      <c r="E69" s="32"/>
      <c r="F69" s="23">
        <f>F66*F68/D30</f>
        <v>102.94564102564102</v>
      </c>
    </row>
    <row r="71" spans="2:9" s="3" customFormat="1" x14ac:dyDescent="0.3">
      <c r="B71" s="18" t="s">
        <v>67</v>
      </c>
      <c r="I71" s="2"/>
    </row>
    <row r="73" spans="2:9" s="3" customFormat="1" x14ac:dyDescent="0.3">
      <c r="B73" s="19" t="s">
        <v>55</v>
      </c>
      <c r="C73" s="27" t="s">
        <v>46</v>
      </c>
      <c r="D73" s="20">
        <v>330</v>
      </c>
      <c r="I73" s="2"/>
    </row>
    <row r="74" spans="2:9" s="3" customFormat="1" x14ac:dyDescent="0.3">
      <c r="B74" s="19" t="s">
        <v>57</v>
      </c>
      <c r="C74" s="27" t="s">
        <v>56</v>
      </c>
      <c r="D74" s="36">
        <v>44.72</v>
      </c>
      <c r="I74" s="2"/>
    </row>
    <row r="75" spans="2:9" s="3" customFormat="1" x14ac:dyDescent="0.3">
      <c r="B75" s="19" t="s">
        <v>59</v>
      </c>
      <c r="C75" s="27" t="s">
        <v>56</v>
      </c>
      <c r="D75" s="36">
        <v>37.299999999999997</v>
      </c>
      <c r="I75" s="2"/>
    </row>
    <row r="76" spans="2:9" s="3" customFormat="1" x14ac:dyDescent="0.3">
      <c r="B76" s="19" t="s">
        <v>58</v>
      </c>
      <c r="C76" s="27" t="s">
        <v>56</v>
      </c>
      <c r="D76" s="20">
        <v>150</v>
      </c>
      <c r="I76" s="2"/>
    </row>
    <row r="77" spans="2:9" s="3" customFormat="1" x14ac:dyDescent="0.3">
      <c r="B77" s="19" t="s">
        <v>61</v>
      </c>
      <c r="C77" s="27" t="s">
        <v>35</v>
      </c>
      <c r="D77" s="23">
        <f>ROUNDDOWN(D76/D74,0)</f>
        <v>3</v>
      </c>
      <c r="E77" s="32" t="s">
        <v>88</v>
      </c>
      <c r="I77" s="2"/>
    </row>
    <row r="78" spans="2:9" s="3" customFormat="1" x14ac:dyDescent="0.3">
      <c r="B78" s="19" t="s">
        <v>60</v>
      </c>
      <c r="C78" s="27" t="s">
        <v>35</v>
      </c>
      <c r="D78" s="23">
        <f>ROUNDUP(D30*2/D75,0)</f>
        <v>3</v>
      </c>
      <c r="E78" s="32" t="s">
        <v>68</v>
      </c>
      <c r="I78" s="2"/>
    </row>
    <row r="79" spans="2:9" s="3" customFormat="1" x14ac:dyDescent="0.3">
      <c r="B79" s="19" t="s">
        <v>73</v>
      </c>
      <c r="C79" s="27" t="s">
        <v>35</v>
      </c>
      <c r="D79" s="20">
        <v>3</v>
      </c>
      <c r="I79" s="2"/>
    </row>
    <row r="80" spans="2:9" s="3" customFormat="1" x14ac:dyDescent="0.3">
      <c r="B80" s="19" t="s">
        <v>74</v>
      </c>
      <c r="C80" s="27" t="s">
        <v>35</v>
      </c>
      <c r="D80" s="20">
        <v>2</v>
      </c>
      <c r="I80" s="2"/>
    </row>
    <row r="81" spans="2:9" s="3" customFormat="1" x14ac:dyDescent="0.3">
      <c r="B81" s="19" t="s">
        <v>66</v>
      </c>
      <c r="C81" s="27" t="s">
        <v>35</v>
      </c>
      <c r="D81" s="23">
        <f>D79*D80</f>
        <v>6</v>
      </c>
      <c r="I81" s="2"/>
    </row>
    <row r="82" spans="2:9" s="3" customFormat="1" x14ac:dyDescent="0.3">
      <c r="B82" s="19" t="s">
        <v>62</v>
      </c>
      <c r="C82" s="27" t="s">
        <v>46</v>
      </c>
      <c r="D82" s="23">
        <f>D79*D80*D73</f>
        <v>1980</v>
      </c>
      <c r="I82" s="2"/>
    </row>
    <row r="83" spans="2:9" s="3" customFormat="1" x14ac:dyDescent="0.3">
      <c r="B83" s="19" t="s">
        <v>64</v>
      </c>
      <c r="C83" s="27" t="s">
        <v>45</v>
      </c>
      <c r="D83" s="21">
        <v>0.8</v>
      </c>
      <c r="E83" s="32" t="s">
        <v>69</v>
      </c>
      <c r="I83" s="2"/>
    </row>
    <row r="84" spans="2:9" s="3" customFormat="1" x14ac:dyDescent="0.3">
      <c r="B84" s="19" t="s">
        <v>63</v>
      </c>
      <c r="C84" s="27" t="s">
        <v>26</v>
      </c>
      <c r="D84" s="23">
        <f>D82*D83/D30</f>
        <v>33</v>
      </c>
      <c r="E84" s="32"/>
      <c r="I84" s="2"/>
    </row>
    <row r="85" spans="2:9" s="3" customFormat="1" x14ac:dyDescent="0.3">
      <c r="B85" s="19" t="s">
        <v>96</v>
      </c>
      <c r="C85" s="27" t="s">
        <v>71</v>
      </c>
      <c r="D85" s="37">
        <f>D82/D66</f>
        <v>0.5128920416052285</v>
      </c>
      <c r="I85" s="2"/>
    </row>
  </sheetData>
  <mergeCells count="5">
    <mergeCell ref="C20:E20"/>
    <mergeCell ref="D22:E22"/>
    <mergeCell ref="F25:F27"/>
    <mergeCell ref="G25:G27"/>
    <mergeCell ref="F63:F6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Centre de santé</vt:lpstr>
      <vt:lpstr>Clinique</vt:lpstr>
      <vt:lpstr>'Centre de santé'!tension_banc</vt:lpstr>
      <vt:lpstr>Clinique!tension_banc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Propriétaire</dc:creator>
  <cp:lastModifiedBy>dell</cp:lastModifiedBy>
  <dcterms:created xsi:type="dcterms:W3CDTF">2020-04-16T09:29:09Z</dcterms:created>
  <dcterms:modified xsi:type="dcterms:W3CDTF">2022-05-04T08:26:37Z</dcterms:modified>
</cp:coreProperties>
</file>