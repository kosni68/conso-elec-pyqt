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efo\Dropbox (Victron Energy)\West &amp; Central Africa\Internal\Webinaires\210924 Economie\"/>
    </mc:Choice>
  </mc:AlternateContent>
  <xr:revisionPtr revIDLastSave="0" documentId="13_ncr:1_{3A945ED8-BC8F-4105-8AF7-56F6360CFB02}" xr6:coauthVersionLast="47" xr6:coauthVersionMax="47" xr10:uidLastSave="{00000000-0000-0000-0000-000000000000}"/>
  <bookViews>
    <workbookView xWindow="-120" yWindow="-120" windowWidth="29040" windowHeight="15840" xr2:uid="{43333148-FFA6-4E34-B9E0-26E31638AD04}"/>
  </bookViews>
  <sheets>
    <sheet name="Niveau initial" sheetId="7" r:id="rId1"/>
    <sheet name="Niveau intermédiare" sheetId="6" r:id="rId2"/>
    <sheet name="Niveau avancé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9" i="2" l="1"/>
  <c r="M59" i="2"/>
  <c r="N59" i="2"/>
  <c r="O59" i="2"/>
  <c r="O60" i="2" s="1"/>
  <c r="O61" i="2" s="1"/>
  <c r="P59" i="2"/>
  <c r="P60" i="2" s="1"/>
  <c r="P61" i="2" s="1"/>
  <c r="Q59" i="2"/>
  <c r="R59" i="2"/>
  <c r="S59" i="2"/>
  <c r="T59" i="2"/>
  <c r="U59" i="2"/>
  <c r="V59" i="2"/>
  <c r="W59" i="2"/>
  <c r="W60" i="2" s="1"/>
  <c r="W61" i="2" s="1"/>
  <c r="X59" i="2"/>
  <c r="X60" i="2" s="1"/>
  <c r="X61" i="2" s="1"/>
  <c r="Y59" i="2"/>
  <c r="M60" i="2"/>
  <c r="N60" i="2"/>
  <c r="N61" i="2" s="1"/>
  <c r="R60" i="2"/>
  <c r="R61" i="2" s="1"/>
  <c r="S60" i="2"/>
  <c r="S61" i="2" s="1"/>
  <c r="U60" i="2"/>
  <c r="V60" i="2"/>
  <c r="V61" i="2" s="1"/>
  <c r="M61" i="2"/>
  <c r="U61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K19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K17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K65" i="2"/>
  <c r="D27" i="7"/>
  <c r="E27" i="7"/>
  <c r="C30" i="7"/>
  <c r="D30" i="7"/>
  <c r="E30" i="7"/>
  <c r="C32" i="7"/>
  <c r="D34" i="7" s="1"/>
  <c r="K18" i="2"/>
  <c r="K95" i="2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K84" i="2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X84" i="2" s="1"/>
  <c r="Y84" i="2" s="1"/>
  <c r="K52" i="2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K41" i="2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Q57" i="6"/>
  <c r="Q66" i="6"/>
  <c r="T60" i="2" l="1"/>
  <c r="T61" i="2" s="1"/>
  <c r="L60" i="2"/>
  <c r="L61" i="2" s="1"/>
  <c r="Y60" i="2"/>
  <c r="Y61" i="2" s="1"/>
  <c r="Q60" i="2"/>
  <c r="Q61" i="2" s="1"/>
  <c r="E34" i="7"/>
  <c r="D25" i="2"/>
  <c r="D67" i="2"/>
  <c r="D60" i="2"/>
  <c r="D18" i="2"/>
  <c r="P57" i="6"/>
  <c r="P66" i="6"/>
  <c r="L57" i="6"/>
  <c r="M57" i="6"/>
  <c r="N57" i="6"/>
  <c r="O57" i="6"/>
  <c r="M66" i="6"/>
  <c r="N66" i="6"/>
  <c r="B14" i="6" l="1"/>
  <c r="B15" i="6" s="1"/>
  <c r="W15" i="6" l="1"/>
  <c r="X15" i="6"/>
  <c r="T15" i="6"/>
  <c r="U15" i="6"/>
  <c r="V15" i="6"/>
  <c r="S15" i="6"/>
  <c r="E56" i="2"/>
  <c r="J56" i="2" s="1"/>
  <c r="Y56" i="2" s="1"/>
  <c r="E55" i="2"/>
  <c r="D33" i="6"/>
  <c r="C7" i="7"/>
  <c r="C6" i="7"/>
  <c r="F9" i="7"/>
  <c r="G9" i="7"/>
  <c r="H9" i="7"/>
  <c r="I9" i="7"/>
  <c r="E9" i="7"/>
  <c r="E10" i="7" s="1"/>
  <c r="C93" i="6"/>
  <c r="D93" i="6" s="1"/>
  <c r="E93" i="6" s="1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C65" i="6"/>
  <c r="D65" i="6" s="1"/>
  <c r="E65" i="6" s="1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P65" i="6" s="1"/>
  <c r="Q65" i="6" s="1"/>
  <c r="C56" i="6"/>
  <c r="D56" i="6" s="1"/>
  <c r="E56" i="6" s="1"/>
  <c r="F56" i="6" s="1"/>
  <c r="G56" i="6" s="1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F4" i="7"/>
  <c r="G4" i="7" s="1"/>
  <c r="H4" i="7" s="1"/>
  <c r="I4" i="7" s="1"/>
  <c r="C82" i="2"/>
  <c r="C40" i="2"/>
  <c r="C79" i="2"/>
  <c r="K85" i="2" s="1"/>
  <c r="D65" i="2"/>
  <c r="E65" i="2" s="1"/>
  <c r="D61" i="2"/>
  <c r="D59" i="2"/>
  <c r="E59" i="2" s="1"/>
  <c r="D58" i="2"/>
  <c r="E58" i="2" s="1"/>
  <c r="J58" i="2" s="1"/>
  <c r="Y58" i="2" s="1"/>
  <c r="E57" i="2"/>
  <c r="J57" i="2" s="1"/>
  <c r="Y57" i="2" s="1"/>
  <c r="D17" i="2"/>
  <c r="E17" i="2" s="1"/>
  <c r="B47" i="6"/>
  <c r="C66" i="6"/>
  <c r="E66" i="6"/>
  <c r="H66" i="6"/>
  <c r="J66" i="6"/>
  <c r="K66" i="6"/>
  <c r="B55" i="6"/>
  <c r="C57" i="6"/>
  <c r="D57" i="6"/>
  <c r="E57" i="6"/>
  <c r="F57" i="6"/>
  <c r="G57" i="6"/>
  <c r="H57" i="6"/>
  <c r="I57" i="6"/>
  <c r="J57" i="6"/>
  <c r="K57" i="6"/>
  <c r="D38" i="6"/>
  <c r="B34" i="6"/>
  <c r="D34" i="6" s="1"/>
  <c r="J34" i="6" s="1"/>
  <c r="J32" i="6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B7" i="6"/>
  <c r="D7" i="6" s="1"/>
  <c r="J7" i="6" s="1"/>
  <c r="J5" i="6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D6" i="6"/>
  <c r="I6" i="6" s="1"/>
  <c r="C37" i="2"/>
  <c r="C41" i="2" s="1"/>
  <c r="L85" i="2" l="1"/>
  <c r="K86" i="2"/>
  <c r="F6" i="6"/>
  <c r="G6" i="6"/>
  <c r="W38" i="6"/>
  <c r="P68" i="6" s="1"/>
  <c r="X38" i="6"/>
  <c r="Q68" i="6" s="1"/>
  <c r="I33" i="6"/>
  <c r="B66" i="6" s="1"/>
  <c r="O66" i="6"/>
  <c r="E60" i="2"/>
  <c r="E17" i="7"/>
  <c r="S38" i="6"/>
  <c r="L68" i="6" s="1"/>
  <c r="T38" i="6"/>
  <c r="M68" i="6" s="1"/>
  <c r="U38" i="6"/>
  <c r="N68" i="6" s="1"/>
  <c r="V38" i="6"/>
  <c r="O68" i="6" s="1"/>
  <c r="B67" i="6"/>
  <c r="G66" i="6"/>
  <c r="F10" i="7"/>
  <c r="G10" i="7" s="1"/>
  <c r="H10" i="7" s="1"/>
  <c r="I10" i="7" s="1"/>
  <c r="I17" i="7"/>
  <c r="C9" i="7"/>
  <c r="C20" i="7"/>
  <c r="C18" i="7"/>
  <c r="G17" i="7"/>
  <c r="F17" i="7"/>
  <c r="H17" i="7"/>
  <c r="K57" i="2"/>
  <c r="J55" i="2"/>
  <c r="K58" i="2"/>
  <c r="K56" i="2"/>
  <c r="J103" i="2"/>
  <c r="J59" i="2"/>
  <c r="C83" i="2"/>
  <c r="L56" i="2"/>
  <c r="B58" i="6"/>
  <c r="B57" i="6"/>
  <c r="J15" i="6"/>
  <c r="J38" i="6" s="1"/>
  <c r="C68" i="6" s="1"/>
  <c r="R15" i="6"/>
  <c r="R38" i="6" s="1"/>
  <c r="K68" i="6" s="1"/>
  <c r="M15" i="6"/>
  <c r="M38" i="6" s="1"/>
  <c r="F68" i="6" s="1"/>
  <c r="N15" i="6"/>
  <c r="N38" i="6" s="1"/>
  <c r="G68" i="6" s="1"/>
  <c r="K15" i="6"/>
  <c r="K38" i="6" s="1"/>
  <c r="D68" i="6" s="1"/>
  <c r="I15" i="6"/>
  <c r="L15" i="6"/>
  <c r="L38" i="6" s="1"/>
  <c r="E68" i="6" s="1"/>
  <c r="O15" i="6"/>
  <c r="O38" i="6" s="1"/>
  <c r="H68" i="6" s="1"/>
  <c r="Q15" i="6"/>
  <c r="Q38" i="6" s="1"/>
  <c r="J68" i="6" s="1"/>
  <c r="P15" i="6"/>
  <c r="P38" i="6" s="1"/>
  <c r="I68" i="6" s="1"/>
  <c r="K55" i="2" l="1"/>
  <c r="Y55" i="2"/>
  <c r="L86" i="2"/>
  <c r="M85" i="2"/>
  <c r="G15" i="6"/>
  <c r="F15" i="6"/>
  <c r="L66" i="6"/>
  <c r="F66" i="6"/>
  <c r="I66" i="6"/>
  <c r="C60" i="2"/>
  <c r="K7" i="6"/>
  <c r="C58" i="6"/>
  <c r="C60" i="6" s="1"/>
  <c r="C94" i="6" s="1"/>
  <c r="I38" i="6"/>
  <c r="C17" i="7"/>
  <c r="L55" i="2"/>
  <c r="L57" i="2"/>
  <c r="L58" i="2"/>
  <c r="K103" i="2"/>
  <c r="K34" i="6"/>
  <c r="C67" i="6"/>
  <c r="C70" i="6" s="1"/>
  <c r="B60" i="6"/>
  <c r="C95" i="6" l="1"/>
  <c r="N85" i="2"/>
  <c r="M86" i="2"/>
  <c r="G33" i="6"/>
  <c r="B68" i="6"/>
  <c r="B70" i="6" s="1"/>
  <c r="B71" i="6" s="1"/>
  <c r="C71" i="6" s="1"/>
  <c r="F38" i="6"/>
  <c r="G38" i="6"/>
  <c r="F33" i="6"/>
  <c r="C96" i="6"/>
  <c r="L7" i="6"/>
  <c r="D58" i="6"/>
  <c r="D60" i="6" s="1"/>
  <c r="D94" i="6" s="1"/>
  <c r="M56" i="2"/>
  <c r="M58" i="2"/>
  <c r="M57" i="2"/>
  <c r="M55" i="2"/>
  <c r="L103" i="2"/>
  <c r="B61" i="6"/>
  <c r="C61" i="6" s="1"/>
  <c r="B94" i="6"/>
  <c r="L34" i="6"/>
  <c r="D67" i="6"/>
  <c r="B95" i="6" l="1"/>
  <c r="O85" i="2"/>
  <c r="N86" i="2"/>
  <c r="D61" i="6"/>
  <c r="M7" i="6"/>
  <c r="E58" i="6"/>
  <c r="E60" i="6" s="1"/>
  <c r="E94" i="6" s="1"/>
  <c r="B96" i="6"/>
  <c r="N57" i="2"/>
  <c r="N55" i="2"/>
  <c r="N58" i="2"/>
  <c r="N56" i="2"/>
  <c r="M103" i="2"/>
  <c r="M34" i="6"/>
  <c r="E67" i="6"/>
  <c r="E70" i="6" s="1"/>
  <c r="E95" i="6" l="1"/>
  <c r="E96" i="6" s="1"/>
  <c r="O86" i="2"/>
  <c r="P85" i="2"/>
  <c r="N7" i="6"/>
  <c r="F58" i="6"/>
  <c r="F60" i="6" s="1"/>
  <c r="F94" i="6" s="1"/>
  <c r="E61" i="6"/>
  <c r="O57" i="2"/>
  <c r="O58" i="2"/>
  <c r="O55" i="2"/>
  <c r="O56" i="2"/>
  <c r="N103" i="2"/>
  <c r="N34" i="6"/>
  <c r="F67" i="6"/>
  <c r="F70" i="6" s="1"/>
  <c r="E13" i="2"/>
  <c r="F95" i="6" l="1"/>
  <c r="P86" i="2"/>
  <c r="Q85" i="2"/>
  <c r="F96" i="6"/>
  <c r="F61" i="6"/>
  <c r="O7" i="6"/>
  <c r="G58" i="6"/>
  <c r="G60" i="6" s="1"/>
  <c r="G94" i="6" s="1"/>
  <c r="P58" i="2"/>
  <c r="P56" i="2"/>
  <c r="P55" i="2"/>
  <c r="P57" i="2"/>
  <c r="O103" i="2"/>
  <c r="O34" i="6"/>
  <c r="G67" i="6"/>
  <c r="G70" i="6" s="1"/>
  <c r="E14" i="2"/>
  <c r="J14" i="2" s="1"/>
  <c r="J13" i="2"/>
  <c r="D23" i="2"/>
  <c r="E23" i="2" s="1"/>
  <c r="K23" i="2" s="1"/>
  <c r="D19" i="2"/>
  <c r="D16" i="2"/>
  <c r="E16" i="2" s="1"/>
  <c r="E15" i="2"/>
  <c r="K10" i="2"/>
  <c r="G95" i="6" l="1"/>
  <c r="G96" i="6" s="1"/>
  <c r="R85" i="2"/>
  <c r="Q86" i="2"/>
  <c r="I65" i="2"/>
  <c r="Y23" i="2"/>
  <c r="P7" i="6"/>
  <c r="H58" i="6"/>
  <c r="H60" i="6" s="1"/>
  <c r="H94" i="6" s="1"/>
  <c r="G61" i="6"/>
  <c r="J15" i="2"/>
  <c r="Q58" i="2"/>
  <c r="Q55" i="2"/>
  <c r="Q56" i="2"/>
  <c r="Q57" i="2"/>
  <c r="P103" i="2"/>
  <c r="P34" i="6"/>
  <c r="H67" i="6"/>
  <c r="H70" i="6" s="1"/>
  <c r="K15" i="2"/>
  <c r="K14" i="2"/>
  <c r="J16" i="2"/>
  <c r="K43" i="2"/>
  <c r="K44" i="2" s="1"/>
  <c r="L10" i="2"/>
  <c r="K13" i="2"/>
  <c r="H95" i="6" l="1"/>
  <c r="S85" i="2"/>
  <c r="R86" i="2"/>
  <c r="H61" i="6"/>
  <c r="H96" i="6"/>
  <c r="Q7" i="6"/>
  <c r="I58" i="6"/>
  <c r="I60" i="6" s="1"/>
  <c r="I94" i="6" s="1"/>
  <c r="R55" i="2"/>
  <c r="R57" i="2"/>
  <c r="R56" i="2"/>
  <c r="R58" i="2"/>
  <c r="Q103" i="2"/>
  <c r="Q34" i="6"/>
  <c r="I67" i="6"/>
  <c r="I70" i="6" s="1"/>
  <c r="L14" i="2"/>
  <c r="L15" i="2"/>
  <c r="L16" i="2"/>
  <c r="K16" i="2"/>
  <c r="L43" i="2"/>
  <c r="J102" i="2"/>
  <c r="L13" i="2"/>
  <c r="M10" i="2"/>
  <c r="I95" i="6" l="1"/>
  <c r="T85" i="2"/>
  <c r="S86" i="2"/>
  <c r="L44" i="2"/>
  <c r="M43" i="2"/>
  <c r="I96" i="6"/>
  <c r="J104" i="2"/>
  <c r="R7" i="6"/>
  <c r="J58" i="6"/>
  <c r="J60" i="6" s="1"/>
  <c r="J94" i="6" s="1"/>
  <c r="I61" i="6"/>
  <c r="S55" i="2"/>
  <c r="S56" i="2"/>
  <c r="S57" i="2"/>
  <c r="S58" i="2"/>
  <c r="R103" i="2"/>
  <c r="R34" i="6"/>
  <c r="J67" i="6"/>
  <c r="J70" i="6" s="1"/>
  <c r="M14" i="2"/>
  <c r="M16" i="2"/>
  <c r="M15" i="2"/>
  <c r="N10" i="2"/>
  <c r="M13" i="2"/>
  <c r="J95" i="6" l="1"/>
  <c r="M44" i="2"/>
  <c r="N43" i="2"/>
  <c r="U85" i="2"/>
  <c r="T86" i="2"/>
  <c r="K102" i="2"/>
  <c r="J96" i="6"/>
  <c r="J61" i="6"/>
  <c r="K58" i="6"/>
  <c r="K60" i="6" s="1"/>
  <c r="K94" i="6" s="1"/>
  <c r="S7" i="6"/>
  <c r="S34" i="6"/>
  <c r="T56" i="2"/>
  <c r="T58" i="2"/>
  <c r="T55" i="2"/>
  <c r="T57" i="2"/>
  <c r="S103" i="2"/>
  <c r="K67" i="6"/>
  <c r="K70" i="6" s="1"/>
  <c r="N16" i="2"/>
  <c r="N14" i="2"/>
  <c r="N15" i="2"/>
  <c r="L102" i="2"/>
  <c r="L104" i="2" s="1"/>
  <c r="O10" i="2"/>
  <c r="N13" i="2"/>
  <c r="K95" i="6" l="1"/>
  <c r="V85" i="2"/>
  <c r="U86" i="2"/>
  <c r="O43" i="2"/>
  <c r="N44" i="2"/>
  <c r="K104" i="2"/>
  <c r="K96" i="6"/>
  <c r="L58" i="6"/>
  <c r="L60" i="6" s="1"/>
  <c r="L94" i="6" s="1"/>
  <c r="T7" i="6"/>
  <c r="K61" i="6"/>
  <c r="L67" i="6"/>
  <c r="L70" i="6" s="1"/>
  <c r="T34" i="6"/>
  <c r="U56" i="2"/>
  <c r="U57" i="2"/>
  <c r="U58" i="2"/>
  <c r="U55" i="2"/>
  <c r="T103" i="2"/>
  <c r="O14" i="2"/>
  <c r="O16" i="2"/>
  <c r="O15" i="2"/>
  <c r="M102" i="2"/>
  <c r="M104" i="2" s="1"/>
  <c r="O13" i="2"/>
  <c r="P10" i="2"/>
  <c r="L95" i="6" l="1"/>
  <c r="L96" i="6"/>
  <c r="P43" i="2"/>
  <c r="O44" i="2"/>
  <c r="W85" i="2"/>
  <c r="V86" i="2"/>
  <c r="L61" i="6"/>
  <c r="U7" i="6"/>
  <c r="M58" i="6"/>
  <c r="M60" i="6" s="1"/>
  <c r="U34" i="6"/>
  <c r="M67" i="6"/>
  <c r="M70" i="6" s="1"/>
  <c r="V57" i="2"/>
  <c r="V58" i="2"/>
  <c r="V55" i="2"/>
  <c r="V56" i="2"/>
  <c r="U103" i="2"/>
  <c r="P14" i="2"/>
  <c r="P16" i="2"/>
  <c r="P15" i="2"/>
  <c r="P13" i="2"/>
  <c r="Q10" i="2"/>
  <c r="X23" i="2"/>
  <c r="P23" i="2"/>
  <c r="W23" i="2"/>
  <c r="O23" i="2"/>
  <c r="S23" i="2"/>
  <c r="V23" i="2"/>
  <c r="N23" i="2"/>
  <c r="U23" i="2"/>
  <c r="M23" i="2"/>
  <c r="T23" i="2"/>
  <c r="L23" i="2"/>
  <c r="R23" i="2"/>
  <c r="Q23" i="2"/>
  <c r="N102" i="2"/>
  <c r="N104" i="2" s="1"/>
  <c r="M95" i="6" l="1"/>
  <c r="M61" i="6"/>
  <c r="M94" i="6"/>
  <c r="W86" i="2"/>
  <c r="X85" i="2"/>
  <c r="Q43" i="2"/>
  <c r="P44" i="2"/>
  <c r="I23" i="2"/>
  <c r="V7" i="6"/>
  <c r="N58" i="6"/>
  <c r="N60" i="6" s="1"/>
  <c r="V34" i="6"/>
  <c r="N67" i="6"/>
  <c r="N70" i="6" s="1"/>
  <c r="W57" i="2"/>
  <c r="W58" i="2"/>
  <c r="W55" i="2"/>
  <c r="W56" i="2"/>
  <c r="V103" i="2"/>
  <c r="Q16" i="2"/>
  <c r="Q14" i="2"/>
  <c r="Q15" i="2"/>
  <c r="O102" i="2"/>
  <c r="O104" i="2" s="1"/>
  <c r="Q13" i="2"/>
  <c r="R10" i="2"/>
  <c r="M96" i="6" l="1"/>
  <c r="N95" i="6"/>
  <c r="N96" i="6" s="1"/>
  <c r="N61" i="6"/>
  <c r="N94" i="6"/>
  <c r="R43" i="2"/>
  <c r="Q44" i="2"/>
  <c r="X86" i="2"/>
  <c r="Y85" i="2"/>
  <c r="Y86" i="2" s="1"/>
  <c r="Y103" i="2" s="1"/>
  <c r="O67" i="6"/>
  <c r="O70" i="6" s="1"/>
  <c r="W34" i="6"/>
  <c r="X34" i="6" s="1"/>
  <c r="Q67" i="6" s="1"/>
  <c r="Q70" i="6" s="1"/>
  <c r="O58" i="6"/>
  <c r="O60" i="6" s="1"/>
  <c r="W7" i="6"/>
  <c r="X7" i="6" s="1"/>
  <c r="Q58" i="6" s="1"/>
  <c r="Q60" i="6" s="1"/>
  <c r="X58" i="2"/>
  <c r="I58" i="2" s="1"/>
  <c r="X55" i="2"/>
  <c r="X56" i="2"/>
  <c r="X57" i="2"/>
  <c r="X103" i="2"/>
  <c r="W103" i="2"/>
  <c r="R15" i="2"/>
  <c r="R16" i="2"/>
  <c r="R14" i="2"/>
  <c r="R13" i="2"/>
  <c r="S10" i="2"/>
  <c r="P102" i="2"/>
  <c r="P104" i="2" s="1"/>
  <c r="O95" i="6" l="1"/>
  <c r="O61" i="6"/>
  <c r="O94" i="6"/>
  <c r="O96" i="6" s="1"/>
  <c r="S43" i="2"/>
  <c r="R44" i="2"/>
  <c r="D103" i="2"/>
  <c r="C103" i="2"/>
  <c r="F34" i="6"/>
  <c r="G34" i="6"/>
  <c r="G41" i="6" s="1"/>
  <c r="G7" i="6"/>
  <c r="F7" i="6"/>
  <c r="F8" i="6" s="1"/>
  <c r="B21" i="6" s="1"/>
  <c r="P58" i="6"/>
  <c r="P60" i="6" s="1"/>
  <c r="G8" i="6"/>
  <c r="B24" i="6" s="1"/>
  <c r="P67" i="6"/>
  <c r="P70" i="6" s="1"/>
  <c r="I86" i="2"/>
  <c r="I55" i="2"/>
  <c r="I56" i="2"/>
  <c r="I57" i="2"/>
  <c r="S14" i="2"/>
  <c r="S16" i="2"/>
  <c r="S15" i="2"/>
  <c r="S13" i="2"/>
  <c r="T10" i="2"/>
  <c r="Q102" i="2"/>
  <c r="Q104" i="2" s="1"/>
  <c r="P95" i="6" l="1"/>
  <c r="P61" i="6"/>
  <c r="Q61" i="6" s="1"/>
  <c r="P94" i="6"/>
  <c r="P96" i="6" s="1"/>
  <c r="T43" i="2"/>
  <c r="S44" i="2"/>
  <c r="T14" i="2"/>
  <c r="T15" i="2"/>
  <c r="T16" i="2"/>
  <c r="T13" i="2"/>
  <c r="U10" i="2"/>
  <c r="R102" i="2"/>
  <c r="R104" i="2" s="1"/>
  <c r="U43" i="2" l="1"/>
  <c r="T44" i="2"/>
  <c r="U14" i="2"/>
  <c r="U15" i="2"/>
  <c r="U16" i="2"/>
  <c r="V10" i="2"/>
  <c r="U13" i="2"/>
  <c r="S102" i="2"/>
  <c r="S104" i="2" s="1"/>
  <c r="V43" i="2" l="1"/>
  <c r="U44" i="2"/>
  <c r="V16" i="2"/>
  <c r="V14" i="2"/>
  <c r="V15" i="2"/>
  <c r="T102" i="2"/>
  <c r="T104" i="2" s="1"/>
  <c r="W10" i="2"/>
  <c r="V13" i="2"/>
  <c r="W43" i="2" l="1"/>
  <c r="V44" i="2"/>
  <c r="W16" i="2"/>
  <c r="W14" i="2"/>
  <c r="W15" i="2"/>
  <c r="U102" i="2"/>
  <c r="U104" i="2" s="1"/>
  <c r="W13" i="2"/>
  <c r="X10" i="2"/>
  <c r="Y10" i="2" s="1"/>
  <c r="Y14" i="2" l="1"/>
  <c r="Y15" i="2"/>
  <c r="Y16" i="2"/>
  <c r="Y13" i="2"/>
  <c r="X43" i="2"/>
  <c r="W44" i="2"/>
  <c r="X16" i="2"/>
  <c r="X14" i="2"/>
  <c r="X15" i="2"/>
  <c r="V102" i="2"/>
  <c r="V104" i="2" s="1"/>
  <c r="X13" i="2"/>
  <c r="I13" i="2" l="1"/>
  <c r="Y43" i="2"/>
  <c r="Y44" i="2" s="1"/>
  <c r="X44" i="2"/>
  <c r="I16" i="2"/>
  <c r="I15" i="2"/>
  <c r="I14" i="2"/>
  <c r="W102" i="2"/>
  <c r="W104" i="2" s="1"/>
  <c r="Y102" i="2" l="1"/>
  <c r="I44" i="2"/>
  <c r="X102" i="2"/>
  <c r="C102" i="2" l="1"/>
  <c r="Y104" i="2"/>
  <c r="D102" i="2"/>
  <c r="X104" i="2"/>
  <c r="D104" i="2" l="1"/>
  <c r="D105" i="2" s="1"/>
  <c r="C104" i="2"/>
  <c r="C105" i="2" s="1"/>
  <c r="J17" i="2" l="1"/>
  <c r="D66" i="6" l="1"/>
  <c r="D70" i="6" s="1"/>
  <c r="B48" i="6"/>
  <c r="F41" i="6"/>
  <c r="B45" i="6" s="1"/>
  <c r="D71" i="6" l="1"/>
  <c r="E71" i="6" s="1"/>
  <c r="F71" i="6" s="1"/>
  <c r="G71" i="6" s="1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D95" i="6"/>
  <c r="D96" i="6" s="1"/>
  <c r="B98" i="6" s="1"/>
  <c r="J60" i="2" l="1"/>
  <c r="J61" i="2" s="1"/>
  <c r="E61" i="2"/>
  <c r="J67" i="2" l="1"/>
  <c r="J97" i="2"/>
  <c r="C63" i="2"/>
  <c r="F65" i="2"/>
  <c r="F59" i="2"/>
  <c r="C61" i="2"/>
  <c r="F57" i="2"/>
  <c r="F55" i="2"/>
  <c r="F58" i="2"/>
  <c r="F56" i="2"/>
  <c r="K59" i="2" l="1"/>
  <c r="K60" i="2" s="1"/>
  <c r="K61" i="2"/>
  <c r="K97" i="2" l="1"/>
  <c r="K67" i="2"/>
  <c r="I59" i="2"/>
  <c r="R67" i="2" l="1"/>
  <c r="R97" i="2"/>
  <c r="S97" i="2"/>
  <c r="S67" i="2"/>
  <c r="N97" i="2"/>
  <c r="N67" i="2"/>
  <c r="V97" i="2"/>
  <c r="V67" i="2"/>
  <c r="L97" i="2"/>
  <c r="L67" i="2"/>
  <c r="X97" i="2"/>
  <c r="X67" i="2"/>
  <c r="M97" i="2"/>
  <c r="M67" i="2"/>
  <c r="Q97" i="2"/>
  <c r="Q67" i="2"/>
  <c r="W97" i="2"/>
  <c r="W67" i="2"/>
  <c r="T67" i="2"/>
  <c r="T97" i="2"/>
  <c r="P97" i="2"/>
  <c r="P67" i="2"/>
  <c r="U67" i="2"/>
  <c r="U97" i="2"/>
  <c r="Y97" i="2"/>
  <c r="Y67" i="2"/>
  <c r="I61" i="2"/>
  <c r="C88" i="2" s="1"/>
  <c r="O97" i="2"/>
  <c r="O67" i="2"/>
  <c r="I60" i="2"/>
  <c r="E18" i="2"/>
  <c r="C97" i="2" l="1"/>
  <c r="I67" i="2"/>
  <c r="E67" i="2" s="1"/>
  <c r="D97" i="2"/>
  <c r="C67" i="2"/>
  <c r="F67" i="2"/>
  <c r="C18" i="2"/>
  <c r="E19" i="2"/>
  <c r="J18" i="2"/>
  <c r="J19" i="2" l="1"/>
  <c r="D109" i="2"/>
  <c r="C109" i="2"/>
  <c r="C21" i="2"/>
  <c r="F23" i="2"/>
  <c r="C19" i="2"/>
  <c r="F16" i="2"/>
  <c r="F14" i="2"/>
  <c r="F15" i="2"/>
  <c r="F13" i="2"/>
  <c r="F17" i="2"/>
  <c r="F19" i="2"/>
  <c r="J25" i="2" l="1"/>
  <c r="J96" i="2"/>
  <c r="J98" i="2" s="1"/>
  <c r="E109" i="2"/>
  <c r="F109" i="2"/>
  <c r="I17" i="2" l="1"/>
  <c r="Y96" i="2"/>
  <c r="Y98" i="2" s="1"/>
  <c r="Y25" i="2"/>
  <c r="K96" i="2" l="1"/>
  <c r="K98" i="2" s="1"/>
  <c r="I18" i="2"/>
  <c r="Q96" i="2"/>
  <c r="Q98" i="2" s="1"/>
  <c r="Q25" i="2"/>
  <c r="P96" i="2"/>
  <c r="P98" i="2" s="1"/>
  <c r="P25" i="2"/>
  <c r="L25" i="2"/>
  <c r="L96" i="2"/>
  <c r="L98" i="2" s="1"/>
  <c r="T25" i="2"/>
  <c r="T96" i="2"/>
  <c r="T98" i="2" s="1"/>
  <c r="W96" i="2"/>
  <c r="W98" i="2" s="1"/>
  <c r="W25" i="2"/>
  <c r="R25" i="2"/>
  <c r="R96" i="2"/>
  <c r="R98" i="2" s="1"/>
  <c r="N96" i="2"/>
  <c r="N98" i="2" s="1"/>
  <c r="N25" i="2"/>
  <c r="U25" i="2"/>
  <c r="U96" i="2"/>
  <c r="U98" i="2" s="1"/>
  <c r="X96" i="2"/>
  <c r="X98" i="2" s="1"/>
  <c r="X25" i="2"/>
  <c r="M25" i="2"/>
  <c r="M96" i="2"/>
  <c r="M98" i="2" s="1"/>
  <c r="S25" i="2"/>
  <c r="S96" i="2"/>
  <c r="S98" i="2" s="1"/>
  <c r="K25" i="2"/>
  <c r="I19" i="2"/>
  <c r="O96" i="2"/>
  <c r="O98" i="2" s="1"/>
  <c r="O25" i="2"/>
  <c r="V96" i="2"/>
  <c r="V98" i="2" s="1"/>
  <c r="V25" i="2"/>
  <c r="I25" i="2" l="1"/>
  <c r="E25" i="2" s="1"/>
  <c r="D96" i="2"/>
  <c r="C96" i="2"/>
  <c r="B113" i="2"/>
  <c r="D98" i="2"/>
  <c r="C98" i="2"/>
  <c r="C46" i="2"/>
  <c r="D108" i="2" l="1"/>
  <c r="D110" i="2" s="1"/>
  <c r="F110" i="2" s="1"/>
  <c r="C108" i="2"/>
  <c r="F25" i="2"/>
  <c r="C25" i="2"/>
  <c r="F61" i="2"/>
  <c r="C99" i="2"/>
  <c r="D99" i="2"/>
  <c r="E108" i="2" l="1"/>
  <c r="C110" i="2"/>
  <c r="E110" i="2" s="1"/>
  <c r="F108" i="2"/>
  <c r="D111" i="2"/>
  <c r="C89" i="2" s="1"/>
  <c r="C1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tc={EC53B0B2-0E73-4323-8391-BF7166901BB3}</author>
    <author>tc={58FA1D43-A364-45BC-9F7C-F9F7A7E53AC1}</author>
  </authors>
  <commentList>
    <comment ref="F10" authorId="0" shapeId="0" xr:uid="{EC53B0B2-0E73-4323-8391-BF7166901B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% de la somme des lignes supérieures</t>
      </text>
    </comment>
    <comment ref="F52" authorId="1" shapeId="0" xr:uid="{58FA1D43-A364-45BC-9F7C-F9F7A7E53A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% de la somme des lignes supérieures</t>
      </text>
    </comment>
  </commentList>
</comments>
</file>

<file path=xl/sharedStrings.xml><?xml version="1.0" encoding="utf-8"?>
<sst xmlns="http://schemas.openxmlformats.org/spreadsheetml/2006/main" count="275" uniqueCount="120">
  <si>
    <t>Batteries</t>
  </si>
  <si>
    <t>Panneaux</t>
  </si>
  <si>
    <t>Câbles et accessoires</t>
  </si>
  <si>
    <t>Unité</t>
  </si>
  <si>
    <t>Coût unitaire</t>
  </si>
  <si>
    <t>Coût total</t>
  </si>
  <si>
    <t>Installation</t>
  </si>
  <si>
    <t>Maintenance</t>
  </si>
  <si>
    <t>Années</t>
  </si>
  <si>
    <t>Marge</t>
  </si>
  <si>
    <t>Total</t>
  </si>
  <si>
    <t>%</t>
  </si>
  <si>
    <t>€</t>
  </si>
  <si>
    <t>Quantité</t>
  </si>
  <si>
    <t>¤</t>
  </si>
  <si>
    <t>€/ ¤</t>
  </si>
  <si>
    <t>#</t>
  </si>
  <si>
    <t>Wc</t>
  </si>
  <si>
    <t>Production</t>
  </si>
  <si>
    <t>Irradiation</t>
  </si>
  <si>
    <t>kWh/m²/j</t>
  </si>
  <si>
    <t>Régulateur</t>
  </si>
  <si>
    <t>Câbles</t>
  </si>
  <si>
    <t>Convertisseur</t>
  </si>
  <si>
    <t>Pts</t>
  </si>
  <si>
    <t>Production annuelle</t>
  </si>
  <si>
    <t>Perte de rendement total</t>
  </si>
  <si>
    <t>Perte de rendement par an</t>
  </si>
  <si>
    <t>Nombre d'années</t>
  </si>
  <si>
    <t>ans</t>
  </si>
  <si>
    <t>kWh</t>
  </si>
  <si>
    <t>Rendement du système</t>
  </si>
  <si>
    <t>LCOE</t>
  </si>
  <si>
    <t>€/kWh</t>
  </si>
  <si>
    <t>Rendement dernière année</t>
  </si>
  <si>
    <t xml:space="preserve">non modifiable </t>
  </si>
  <si>
    <t>% tot sup</t>
  </si>
  <si>
    <t>Solaire</t>
  </si>
  <si>
    <t>Electronique de puissance</t>
  </si>
  <si>
    <t>kW</t>
  </si>
  <si>
    <t>Remplacement</t>
  </si>
  <si>
    <t>Hypothèses économique</t>
  </si>
  <si>
    <t>Investissement</t>
  </si>
  <si>
    <t>€/Wc</t>
  </si>
  <si>
    <t xml:space="preserve"> €</t>
  </si>
  <si>
    <t>Puissance</t>
  </si>
  <si>
    <t>Dépenses</t>
  </si>
  <si>
    <t>Rendement</t>
  </si>
  <si>
    <t>Wh/m²/jour</t>
  </si>
  <si>
    <t>Production par jour</t>
  </si>
  <si>
    <t>Wh/jour</t>
  </si>
  <si>
    <t>Production PV = (Puissance PV x Irradiation) / (Rendement x 1000)</t>
  </si>
  <si>
    <r>
      <rPr>
        <sz val="11"/>
        <color theme="5"/>
        <rFont val="Calibri"/>
        <family val="2"/>
        <scheme val="minor"/>
      </rPr>
      <t>kWh</t>
    </r>
    <r>
      <rPr>
        <sz val="11"/>
        <color theme="1"/>
        <rFont val="Calibri"/>
        <family val="2"/>
        <scheme val="minor"/>
      </rPr>
      <t>/an</t>
    </r>
  </si>
  <si>
    <t>Somme</t>
  </si>
  <si>
    <t>LCOE = somme des dépenses  / somme de la production   * sur la durée de vie</t>
  </si>
  <si>
    <t>Coût</t>
  </si>
  <si>
    <t xml:space="preserve">LCOE </t>
  </si>
  <si>
    <t>LCOE actualisée</t>
  </si>
  <si>
    <t>LCOE simplifiée</t>
  </si>
  <si>
    <t>Discount rate</t>
  </si>
  <si>
    <t>Carburant</t>
  </si>
  <si>
    <t>VA</t>
  </si>
  <si>
    <t>Production par an</t>
  </si>
  <si>
    <t>Conso</t>
  </si>
  <si>
    <t>€/L</t>
  </si>
  <si>
    <t xml:space="preserve"> €/Wh</t>
  </si>
  <si>
    <t>LCOE Solaire</t>
  </si>
  <si>
    <t>LCOE Groupe électrogène</t>
  </si>
  <si>
    <t>Temps de retour sur investissement</t>
  </si>
  <si>
    <t>Dépenses solaires</t>
  </si>
  <si>
    <t>Dépenses groupe</t>
  </si>
  <si>
    <t>Dépenses totales</t>
  </si>
  <si>
    <t>Groupe</t>
  </si>
  <si>
    <t>Econiomies solaire</t>
  </si>
  <si>
    <t>Taux de rentabilité interne</t>
  </si>
  <si>
    <t>TRI</t>
  </si>
  <si>
    <t>€/VA</t>
  </si>
  <si>
    <t xml:space="preserve">Temps de retour sur investissement </t>
  </si>
  <si>
    <t>Econiomies Qualité</t>
  </si>
  <si>
    <t>"Qualité"</t>
  </si>
  <si>
    <t>"Low cost"</t>
  </si>
  <si>
    <t>Total "Groupe"</t>
  </si>
  <si>
    <t>Total cumulé "Groupe"</t>
  </si>
  <si>
    <t>Total "Solaire"</t>
  </si>
  <si>
    <t>Total cumulé "Solaire"</t>
  </si>
  <si>
    <t>Valeur actuelle nette</t>
  </si>
  <si>
    <t>Taux d'actualisation</t>
  </si>
  <si>
    <t>Total cumulatif</t>
  </si>
  <si>
    <t>- avec formule</t>
  </si>
  <si>
    <t xml:space="preserve">- somme </t>
  </si>
  <si>
    <t xml:space="preserve">Temps de retour </t>
  </si>
  <si>
    <t>Les formules de bases</t>
  </si>
  <si>
    <t>Flux annuels (Recettes - Dépenses)</t>
  </si>
  <si>
    <t>VAN</t>
  </si>
  <si>
    <t>Solaire Qualité</t>
  </si>
  <si>
    <t>Solaire Low Cost</t>
  </si>
  <si>
    <t>% total</t>
  </si>
  <si>
    <t>Markup</t>
  </si>
  <si>
    <t>Investissement initial (Capex)</t>
  </si>
  <si>
    <t>Maintenance (Opex)</t>
  </si>
  <si>
    <t xml:space="preserve">Comparatif </t>
  </si>
  <si>
    <t>Capex + Opex</t>
  </si>
  <si>
    <t xml:space="preserve">Total </t>
  </si>
  <si>
    <t>actualisé</t>
  </si>
  <si>
    <t>Dépenses  totales (Capex + Opex)</t>
  </si>
  <si>
    <t>Production annnuelle</t>
  </si>
  <si>
    <t>Surplus Qualité</t>
  </si>
  <si>
    <t>non actualisé</t>
  </si>
  <si>
    <t>FCFA</t>
  </si>
  <si>
    <t>Différence Qualityé vs Low-cost</t>
  </si>
  <si>
    <t>Différence avec "Qualité"</t>
  </si>
  <si>
    <t>EUR - €</t>
  </si>
  <si>
    <t>€/FCFA</t>
  </si>
  <si>
    <t>VAN @ 25% :</t>
  </si>
  <si>
    <t>TRI :</t>
  </si>
  <si>
    <t>Flux</t>
  </si>
  <si>
    <t>Capex</t>
  </si>
  <si>
    <t>Rendement initial</t>
  </si>
  <si>
    <t>Exemple de calcul d'un TRI simple :</t>
  </si>
  <si>
    <t>L/kWh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</si>
</sst>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-#,##0.0"/>
    <numFmt numFmtId="165" formatCode="#,##0.000000;\-#,##0.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9" fontId="0" fillId="2" borderId="1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37" fontId="0" fillId="0" borderId="1" xfId="0" applyNumberFormat="1" applyBorder="1" applyAlignment="1">
      <alignment vertical="center"/>
    </xf>
    <xf numFmtId="37" fontId="0" fillId="0" borderId="1" xfId="0" applyNumberFormat="1" applyBorder="1" applyAlignment="1">
      <alignment horizontal="center" vertical="center"/>
    </xf>
    <xf numFmtId="37" fontId="3" fillId="0" borderId="1" xfId="0" applyNumberFormat="1" applyFont="1" applyBorder="1" applyAlignment="1">
      <alignment vertical="center"/>
    </xf>
    <xf numFmtId="37" fontId="0" fillId="0" borderId="2" xfId="0" applyNumberFormat="1" applyBorder="1" applyAlignment="1">
      <alignment vertical="center"/>
    </xf>
    <xf numFmtId="37" fontId="0" fillId="4" borderId="1" xfId="0" applyNumberFormat="1" applyFill="1" applyBorder="1" applyAlignment="1">
      <alignment horizontal="center" vertical="center"/>
    </xf>
    <xf numFmtId="37" fontId="0" fillId="5" borderId="1" xfId="0" applyNumberFormat="1" applyFill="1" applyBorder="1" applyAlignment="1">
      <alignment horizontal="center" vertical="center"/>
    </xf>
    <xf numFmtId="37" fontId="0" fillId="8" borderId="1" xfId="0" applyNumberFormat="1" applyFill="1" applyBorder="1" applyAlignment="1">
      <alignment horizontal="center" vertical="center"/>
    </xf>
    <xf numFmtId="39" fontId="0" fillId="8" borderId="1" xfId="0" applyNumberFormat="1" applyFill="1" applyBorder="1" applyAlignment="1">
      <alignment horizontal="center" vertical="center"/>
    </xf>
    <xf numFmtId="37" fontId="0" fillId="3" borderId="1" xfId="0" applyNumberFormat="1" applyFill="1" applyBorder="1" applyAlignment="1">
      <alignment horizontal="center" vertical="center"/>
    </xf>
    <xf numFmtId="37" fontId="0" fillId="0" borderId="1" xfId="0" applyNumberFormat="1" applyFont="1" applyBorder="1" applyAlignment="1">
      <alignment vertical="center"/>
    </xf>
    <xf numFmtId="37" fontId="4" fillId="0" borderId="1" xfId="0" applyNumberFormat="1" applyFont="1" applyBorder="1" applyAlignment="1">
      <alignment horizontal="center" vertical="center"/>
    </xf>
    <xf numFmtId="37" fontId="0" fillId="9" borderId="1" xfId="0" applyNumberFormat="1" applyFill="1" applyBorder="1" applyAlignment="1">
      <alignment horizontal="center" vertical="center"/>
    </xf>
    <xf numFmtId="37" fontId="0" fillId="8" borderId="1" xfId="0" applyNumberFormat="1" applyFill="1" applyBorder="1" applyAlignment="1">
      <alignment vertical="center"/>
    </xf>
    <xf numFmtId="9" fontId="0" fillId="8" borderId="1" xfId="1" applyFont="1" applyFill="1" applyBorder="1" applyAlignment="1">
      <alignment vertical="center"/>
    </xf>
    <xf numFmtId="37" fontId="2" fillId="0" borderId="1" xfId="0" applyNumberFormat="1" applyFont="1" applyBorder="1" applyAlignment="1">
      <alignment vertical="center"/>
    </xf>
    <xf numFmtId="39" fontId="0" fillId="9" borderId="1" xfId="0" applyNumberForma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37" fontId="7" fillId="7" borderId="4" xfId="0" applyNumberFormat="1" applyFont="1" applyFill="1" applyBorder="1" applyAlignment="1">
      <alignment vertical="center"/>
    </xf>
    <xf numFmtId="37" fontId="7" fillId="7" borderId="4" xfId="0" applyNumberFormat="1" applyFont="1" applyFill="1" applyBorder="1" applyAlignment="1">
      <alignment horizontal="center" vertical="center"/>
    </xf>
    <xf numFmtId="37" fontId="4" fillId="0" borderId="2" xfId="0" applyNumberFormat="1" applyFont="1" applyBorder="1" applyAlignment="1">
      <alignment horizontal="center" vertical="center"/>
    </xf>
    <xf numFmtId="37" fontId="0" fillId="0" borderId="2" xfId="0" applyNumberFormat="1" applyBorder="1" applyAlignment="1">
      <alignment horizontal="center" vertical="center"/>
    </xf>
    <xf numFmtId="37" fontId="0" fillId="0" borderId="3" xfId="0" applyNumberFormat="1" applyBorder="1" applyAlignment="1">
      <alignment horizontal="center" vertical="center"/>
    </xf>
    <xf numFmtId="37" fontId="0" fillId="0" borderId="1" xfId="0" applyNumberFormat="1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37" fontId="9" fillId="0" borderId="1" xfId="0" applyNumberFormat="1" applyFont="1" applyBorder="1" applyAlignment="1">
      <alignment vertical="center"/>
    </xf>
    <xf numFmtId="37" fontId="0" fillId="10" borderId="1" xfId="0" applyNumberFormat="1" applyFill="1" applyBorder="1" applyAlignment="1">
      <alignment horizontal="center" vertical="center"/>
    </xf>
    <xf numFmtId="39" fontId="0" fillId="0" borderId="1" xfId="0" applyNumberFormat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9" fontId="4" fillId="8" borderId="1" xfId="1" applyFont="1" applyFill="1" applyBorder="1" applyAlignment="1">
      <alignment horizontal="center" vertical="center"/>
    </xf>
    <xf numFmtId="37" fontId="4" fillId="8" borderId="1" xfId="0" applyNumberFormat="1" applyFont="1" applyFill="1" applyBorder="1" applyAlignment="1">
      <alignment horizontal="center" vertical="center"/>
    </xf>
    <xf numFmtId="9" fontId="2" fillId="2" borderId="5" xfId="1" applyFont="1" applyFill="1" applyBorder="1" applyAlignment="1">
      <alignment horizontal="center" vertical="center"/>
    </xf>
    <xf numFmtId="9" fontId="0" fillId="3" borderId="6" xfId="1" applyFont="1" applyFill="1" applyBorder="1" applyAlignment="1">
      <alignment horizontal="center" vertical="center"/>
    </xf>
    <xf numFmtId="37" fontId="8" fillId="7" borderId="4" xfId="0" applyNumberFormat="1" applyFont="1" applyFill="1" applyBorder="1" applyAlignment="1">
      <alignment vertical="center"/>
    </xf>
    <xf numFmtId="37" fontId="6" fillId="0" borderId="1" xfId="0" applyNumberFormat="1" applyFont="1" applyBorder="1" applyAlignment="1">
      <alignment vertical="center"/>
    </xf>
    <xf numFmtId="37" fontId="0" fillId="2" borderId="1" xfId="1" applyNumberFormat="1" applyFont="1" applyFill="1" applyBorder="1" applyAlignment="1">
      <alignment horizontal="center" vertical="center"/>
    </xf>
    <xf numFmtId="37" fontId="0" fillId="5" borderId="1" xfId="0" applyNumberFormat="1" applyFill="1" applyBorder="1" applyAlignment="1">
      <alignment horizontal="left" vertical="center"/>
    </xf>
    <xf numFmtId="37" fontId="0" fillId="5" borderId="1" xfId="0" applyNumberFormat="1" applyFill="1" applyBorder="1" applyAlignment="1">
      <alignment vertical="center"/>
    </xf>
    <xf numFmtId="37" fontId="0" fillId="0" borderId="1" xfId="0" applyNumberFormat="1" applyBorder="1" applyAlignment="1">
      <alignment horizontal="left" vertical="center"/>
    </xf>
    <xf numFmtId="37" fontId="0" fillId="2" borderId="1" xfId="0" applyNumberFormat="1" applyFill="1" applyBorder="1" applyAlignment="1">
      <alignment horizontal="center" vertical="center"/>
    </xf>
    <xf numFmtId="37" fontId="2" fillId="2" borderId="1" xfId="0" applyNumberFormat="1" applyFont="1" applyFill="1" applyBorder="1" applyAlignment="1">
      <alignment horizontal="center" vertical="center"/>
    </xf>
    <xf numFmtId="37" fontId="5" fillId="0" borderId="1" xfId="0" applyNumberFormat="1" applyFont="1" applyBorder="1" applyAlignment="1">
      <alignment horizontal="left" vertical="center"/>
    </xf>
    <xf numFmtId="37" fontId="0" fillId="9" borderId="1" xfId="0" applyNumberFormat="1" applyFill="1" applyBorder="1" applyAlignment="1">
      <alignment horizontal="left" vertical="center"/>
    </xf>
    <xf numFmtId="37" fontId="6" fillId="0" borderId="1" xfId="0" applyNumberFormat="1" applyFont="1" applyBorder="1" applyAlignment="1">
      <alignment horizontal="left" vertical="center" indent="1"/>
    </xf>
    <xf numFmtId="37" fontId="6" fillId="0" borderId="5" xfId="0" applyNumberFormat="1" applyFont="1" applyBorder="1" applyAlignment="1">
      <alignment horizontal="left" vertical="center" indent="1"/>
    </xf>
    <xf numFmtId="37" fontId="0" fillId="0" borderId="5" xfId="0" applyNumberFormat="1" applyBorder="1" applyAlignment="1">
      <alignment vertical="center"/>
    </xf>
    <xf numFmtId="37" fontId="0" fillId="0" borderId="6" xfId="0" applyNumberFormat="1" applyBorder="1" applyAlignment="1">
      <alignment horizontal="left" vertical="center"/>
    </xf>
    <xf numFmtId="37" fontId="0" fillId="0" borderId="6" xfId="0" applyNumberFormat="1" applyBorder="1" applyAlignment="1">
      <alignment vertical="center"/>
    </xf>
    <xf numFmtId="9" fontId="0" fillId="0" borderId="1" xfId="1" quotePrefix="1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37" fontId="0" fillId="3" borderId="1" xfId="0" applyNumberFormat="1" applyFill="1" applyBorder="1" applyAlignment="1">
      <alignment horizontal="left" vertical="center"/>
    </xf>
    <xf numFmtId="9" fontId="11" fillId="2" borderId="1" xfId="1" applyFont="1" applyFill="1" applyBorder="1" applyAlignment="1">
      <alignment horizontal="center" vertical="center"/>
    </xf>
    <xf numFmtId="9" fontId="11" fillId="2" borderId="5" xfId="1" applyFont="1" applyFill="1" applyBorder="1" applyAlignment="1">
      <alignment horizontal="center" vertical="center"/>
    </xf>
    <xf numFmtId="39" fontId="0" fillId="0" borderId="1" xfId="1" applyNumberFormat="1" applyFont="1" applyBorder="1" applyAlignment="1">
      <alignment horizontal="center" vertical="center"/>
    </xf>
    <xf numFmtId="39" fontId="0" fillId="2" borderId="1" xfId="0" applyNumberFormat="1" applyFill="1" applyBorder="1" applyAlignment="1">
      <alignment horizontal="center" vertical="center"/>
    </xf>
    <xf numFmtId="39" fontId="0" fillId="3" borderId="1" xfId="0" applyNumberFormat="1" applyFill="1" applyBorder="1" applyAlignment="1">
      <alignment horizontal="center" vertical="center"/>
    </xf>
    <xf numFmtId="39" fontId="11" fillId="2" borderId="1" xfId="0" applyNumberFormat="1" applyFont="1" applyFill="1" applyBorder="1" applyAlignment="1">
      <alignment horizontal="center" vertical="center"/>
    </xf>
    <xf numFmtId="37" fontId="0" fillId="3" borderId="1" xfId="0" applyNumberFormat="1" applyFill="1" applyBorder="1" applyAlignment="1">
      <alignment vertical="center"/>
    </xf>
    <xf numFmtId="37" fontId="0" fillId="0" borderId="1" xfId="0" applyNumberFormat="1" applyFill="1" applyBorder="1" applyAlignment="1">
      <alignment vertical="center"/>
    </xf>
    <xf numFmtId="9" fontId="0" fillId="9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left" vertical="center"/>
    </xf>
    <xf numFmtId="37" fontId="0" fillId="6" borderId="1" xfId="0" applyNumberFormat="1" applyFill="1" applyBorder="1" applyAlignment="1">
      <alignment horizontal="center" vertical="center" shrinkToFit="1"/>
    </xf>
    <xf numFmtId="37" fontId="0" fillId="0" borderId="1" xfId="0" applyNumberFormat="1" applyBorder="1"/>
    <xf numFmtId="37" fontId="3" fillId="0" borderId="1" xfId="0" applyNumberFormat="1" applyFont="1" applyBorder="1"/>
    <xf numFmtId="37" fontId="0" fillId="3" borderId="1" xfId="0" applyNumberFormat="1" applyFill="1" applyBorder="1" applyAlignment="1">
      <alignment horizontal="center"/>
    </xf>
    <xf numFmtId="37" fontId="0" fillId="8" borderId="1" xfId="0" applyNumberFormat="1" applyFill="1" applyBorder="1" applyAlignment="1">
      <alignment horizontal="center"/>
    </xf>
    <xf numFmtId="37" fontId="0" fillId="9" borderId="1" xfId="0" applyNumberFormat="1" applyFill="1" applyBorder="1" applyAlignment="1">
      <alignment horizontal="center"/>
    </xf>
    <xf numFmtId="9" fontId="0" fillId="0" borderId="1" xfId="1" applyFont="1" applyBorder="1"/>
    <xf numFmtId="37" fontId="6" fillId="0" borderId="1" xfId="0" quotePrefix="1" applyNumberFormat="1" applyFont="1" applyBorder="1" applyAlignment="1">
      <alignment horizontal="left" indent="1"/>
    </xf>
    <xf numFmtId="37" fontId="0" fillId="10" borderId="1" xfId="0" applyNumberFormat="1" applyFill="1" applyBorder="1" applyAlignment="1">
      <alignment horizontal="center"/>
    </xf>
    <xf numFmtId="9" fontId="0" fillId="8" borderId="1" xfId="1" applyFont="1" applyFill="1" applyBorder="1" applyAlignment="1">
      <alignment horizontal="center"/>
    </xf>
    <xf numFmtId="37" fontId="0" fillId="0" borderId="1" xfId="0" applyNumberFormat="1" applyBorder="1" applyAlignment="1">
      <alignment horizontal="center"/>
    </xf>
    <xf numFmtId="9" fontId="0" fillId="10" borderId="1" xfId="1" applyNumberFormat="1" applyFont="1" applyFill="1" applyBorder="1" applyAlignment="1">
      <alignment horizontal="center"/>
    </xf>
    <xf numFmtId="37" fontId="0" fillId="0" borderId="1" xfId="0" applyNumberFormat="1" applyBorder="1" applyAlignment="1">
      <alignment horizontal="left"/>
    </xf>
    <xf numFmtId="39" fontId="2" fillId="2" borderId="1" xfId="0" applyNumberFormat="1" applyFont="1" applyFill="1" applyBorder="1" applyAlignment="1">
      <alignment horizontal="center" vertical="center"/>
    </xf>
    <xf numFmtId="39" fontId="3" fillId="9" borderId="1" xfId="0" applyNumberFormat="1" applyFont="1" applyFill="1" applyBorder="1" applyAlignment="1">
      <alignment horizontal="center" vertical="center"/>
    </xf>
    <xf numFmtId="37" fontId="0" fillId="4" borderId="1" xfId="0" applyNumberFormat="1" applyFill="1" applyBorder="1" applyAlignment="1">
      <alignment horizontal="left" vertical="center"/>
    </xf>
    <xf numFmtId="39" fontId="0" fillId="8" borderId="1" xfId="0" applyNumberFormat="1" applyFill="1" applyBorder="1" applyAlignment="1">
      <alignment horizontal="center" vertical="center"/>
    </xf>
    <xf numFmtId="39" fontId="3" fillId="9" borderId="1" xfId="0" applyNumberFormat="1" applyFont="1" applyFill="1" applyBorder="1" applyAlignment="1">
      <alignment horizontal="left" vertical="center"/>
    </xf>
    <xf numFmtId="37" fontId="3" fillId="9" borderId="1" xfId="0" applyNumberFormat="1" applyFont="1" applyFill="1" applyBorder="1" applyAlignment="1">
      <alignment horizontal="center" vertical="center"/>
    </xf>
    <xf numFmtId="9" fontId="0" fillId="2" borderId="1" xfId="1" quotePrefix="1" applyFont="1" applyFill="1" applyBorder="1" applyAlignment="1">
      <alignment horizontal="center" vertical="center"/>
    </xf>
    <xf numFmtId="37" fontId="0" fillId="4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9" fontId="3" fillId="9" borderId="1" xfId="1" applyFont="1" applyFill="1" applyBorder="1" applyAlignment="1">
      <alignment horizontal="center" vertical="center"/>
    </xf>
    <xf numFmtId="37" fontId="12" fillId="0" borderId="1" xfId="0" applyNumberFormat="1" applyFont="1" applyBorder="1" applyAlignment="1">
      <alignment vertical="center"/>
    </xf>
    <xf numFmtId="9" fontId="11" fillId="11" borderId="1" xfId="1" applyFont="1" applyFill="1" applyBorder="1" applyAlignment="1">
      <alignment horizontal="left" vertical="center"/>
    </xf>
    <xf numFmtId="37" fontId="13" fillId="5" borderId="1" xfId="0" applyNumberFormat="1" applyFont="1" applyFill="1" applyBorder="1" applyAlignment="1">
      <alignment horizontal="center" vertical="center"/>
    </xf>
    <xf numFmtId="37" fontId="0" fillId="4" borderId="1" xfId="0" applyNumberFormat="1" applyFill="1" applyBorder="1" applyAlignment="1">
      <alignment horizontal="left"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3" borderId="7" xfId="0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0" fillId="11" borderId="1" xfId="0" applyNumberFormat="1" applyFill="1" applyBorder="1"/>
    <xf numFmtId="37" fontId="0" fillId="4" borderId="2" xfId="0" applyNumberFormat="1" applyFill="1" applyBorder="1" applyAlignment="1">
      <alignment horizontal="center" vertical="center"/>
    </xf>
    <xf numFmtId="37" fontId="0" fillId="4" borderId="4" xfId="0" applyNumberFormat="1" applyFill="1" applyBorder="1" applyAlignment="1">
      <alignment horizontal="center" vertical="center"/>
    </xf>
    <xf numFmtId="37" fontId="0" fillId="4" borderId="3" xfId="0" applyNumberFormat="1" applyFill="1" applyBorder="1" applyAlignment="1">
      <alignment horizontal="center" vertical="center"/>
    </xf>
    <xf numFmtId="37" fontId="0" fillId="12" borderId="2" xfId="0" applyNumberFormat="1" applyFill="1" applyBorder="1" applyAlignment="1">
      <alignment horizontal="center" vertical="center"/>
    </xf>
    <xf numFmtId="37" fontId="0" fillId="12" borderId="3" xfId="0" applyNumberFormat="1" applyFill="1" applyBorder="1" applyAlignment="1">
      <alignment horizontal="center" vertical="center"/>
    </xf>
    <xf numFmtId="37" fontId="9" fillId="0" borderId="2" xfId="0" applyNumberFormat="1" applyFont="1" applyBorder="1" applyAlignment="1">
      <alignment horizontal="center" vertical="center"/>
    </xf>
    <xf numFmtId="37" fontId="9" fillId="0" borderId="3" xfId="0" applyNumberFormat="1" applyFont="1" applyBorder="1" applyAlignment="1">
      <alignment horizontal="center" vertical="center"/>
    </xf>
    <xf numFmtId="37" fontId="0" fillId="6" borderId="2" xfId="0" applyNumberFormat="1" applyFill="1" applyBorder="1" applyAlignment="1">
      <alignment horizontal="center" vertical="center" shrinkToFit="1"/>
    </xf>
    <xf numFmtId="37" fontId="0" fillId="6" borderId="3" xfId="0" applyNumberFormat="1" applyFill="1" applyBorder="1" applyAlignment="1">
      <alignment horizontal="center" vertical="center" shrinkToFi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'Niveau initial'!$E$9:$I$9</c:f>
              <c:numCache>
                <c:formatCode>#,##0_);\(#,##0\)</c:formatCode>
                <c:ptCount val="5"/>
                <c:pt idx="0">
                  <c:v>-10000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0-4045-9C65-3D0588B7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378351"/>
        <c:axId val="59187550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'Niveau initial'!$E$10:$I$10</c:f>
              <c:numCache>
                <c:formatCode>#,##0_);\(#,##0\)</c:formatCode>
                <c:ptCount val="5"/>
                <c:pt idx="0">
                  <c:v>-10000</c:v>
                </c:pt>
                <c:pt idx="1">
                  <c:v>-6000</c:v>
                </c:pt>
                <c:pt idx="2">
                  <c:v>-2000</c:v>
                </c:pt>
                <c:pt idx="3">
                  <c:v>2000</c:v>
                </c:pt>
                <c:pt idx="4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60-4045-9C65-3D0588B7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58911"/>
        <c:axId val="218059807"/>
      </c:lineChart>
      <c:catAx>
        <c:axId val="213378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1875503"/>
        <c:crosses val="autoZero"/>
        <c:auto val="1"/>
        <c:lblAlgn val="ctr"/>
        <c:lblOffset val="100"/>
        <c:noMultiLvlLbl val="0"/>
      </c:catAx>
      <c:valAx>
        <c:axId val="5918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378351"/>
        <c:crosses val="autoZero"/>
        <c:crossBetween val="between"/>
      </c:valAx>
      <c:valAx>
        <c:axId val="218059807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558911"/>
        <c:crosses val="max"/>
        <c:crossBetween val="between"/>
      </c:valAx>
      <c:catAx>
        <c:axId val="214558911"/>
        <c:scaling>
          <c:orientation val="minMax"/>
        </c:scaling>
        <c:delete val="1"/>
        <c:axPos val="b"/>
        <c:majorTickMark val="out"/>
        <c:minorTickMark val="none"/>
        <c:tickLblPos val="nextTo"/>
        <c:crossAx val="21805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'Niveau intermédiare'!$A$60</c:f>
              <c:strCache>
                <c:ptCount val="1"/>
                <c:pt idx="0">
                  <c:v>Total "Solaire"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'Niveau intermédiare'!$B$60:$Q$60</c:f>
              <c:numCache>
                <c:formatCode>#,##0_);\(#,##0\)</c:formatCode>
                <c:ptCount val="16"/>
                <c:pt idx="0">
                  <c:v>45000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1-4E84-939B-601E78F03D5D}"/>
            </c:ext>
          </c:extLst>
        </c:ser>
        <c:ser>
          <c:idx val="1"/>
          <c:order val="1"/>
          <c:tx>
            <c:strRef>
              <c:f>'Niveau intermédiare'!$A$70</c:f>
              <c:strCache>
                <c:ptCount val="1"/>
                <c:pt idx="0">
                  <c:v>Total "Groupe"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'Niveau intermédiare'!$B$70:$Q$70</c:f>
              <c:numCache>
                <c:formatCode>#,##0_);\(#,##0\)</c:formatCode>
                <c:ptCount val="16"/>
                <c:pt idx="0">
                  <c:v>11829.25</c:v>
                </c:pt>
                <c:pt idx="1">
                  <c:v>8549.25</c:v>
                </c:pt>
                <c:pt idx="2">
                  <c:v>8549.25</c:v>
                </c:pt>
                <c:pt idx="3">
                  <c:v>8549.25</c:v>
                </c:pt>
                <c:pt idx="4">
                  <c:v>8549.25</c:v>
                </c:pt>
                <c:pt idx="5">
                  <c:v>12549.25</c:v>
                </c:pt>
                <c:pt idx="6">
                  <c:v>8549.25</c:v>
                </c:pt>
                <c:pt idx="7">
                  <c:v>8549.25</c:v>
                </c:pt>
                <c:pt idx="8">
                  <c:v>8549.25</c:v>
                </c:pt>
                <c:pt idx="9">
                  <c:v>8549.25</c:v>
                </c:pt>
                <c:pt idx="10">
                  <c:v>12549.25</c:v>
                </c:pt>
                <c:pt idx="11">
                  <c:v>8549.25</c:v>
                </c:pt>
                <c:pt idx="12">
                  <c:v>8549.25</c:v>
                </c:pt>
                <c:pt idx="13">
                  <c:v>8549.25</c:v>
                </c:pt>
                <c:pt idx="14">
                  <c:v>8549.25</c:v>
                </c:pt>
                <c:pt idx="15">
                  <c:v>12549.25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1-4E84-939B-601E78F03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5939983"/>
        <c:axId val="385946639"/>
      </c:barChart>
      <c:lineChart>
        <c:grouping val="standard"/>
        <c:varyColors val="0"/>
        <c:ser>
          <c:idx val="2"/>
          <c:order val="2"/>
          <c:tx>
            <c:strRef>
              <c:f>'Niveau intermédiare'!$A$61</c:f>
              <c:strCache>
                <c:ptCount val="1"/>
                <c:pt idx="0">
                  <c:v>Total cumulé "Solaire"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'Niveau intermédiare'!$B$61:$Q$61</c:f>
              <c:numCache>
                <c:formatCode>#,##0_);\(#,##0\)</c:formatCode>
                <c:ptCount val="16"/>
                <c:pt idx="0">
                  <c:v>45000</c:v>
                </c:pt>
                <c:pt idx="1">
                  <c:v>45300</c:v>
                </c:pt>
                <c:pt idx="2">
                  <c:v>45600</c:v>
                </c:pt>
                <c:pt idx="3">
                  <c:v>45900</c:v>
                </c:pt>
                <c:pt idx="4">
                  <c:v>46200</c:v>
                </c:pt>
                <c:pt idx="5">
                  <c:v>46500</c:v>
                </c:pt>
                <c:pt idx="6">
                  <c:v>46800</c:v>
                </c:pt>
                <c:pt idx="7">
                  <c:v>47100</c:v>
                </c:pt>
                <c:pt idx="8">
                  <c:v>47400</c:v>
                </c:pt>
                <c:pt idx="9">
                  <c:v>47700</c:v>
                </c:pt>
                <c:pt idx="10">
                  <c:v>48000</c:v>
                </c:pt>
                <c:pt idx="11">
                  <c:v>48300</c:v>
                </c:pt>
                <c:pt idx="12">
                  <c:v>48600</c:v>
                </c:pt>
                <c:pt idx="13">
                  <c:v>48900</c:v>
                </c:pt>
                <c:pt idx="14">
                  <c:v>49200</c:v>
                </c:pt>
                <c:pt idx="15">
                  <c:v>49500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51-4E84-939B-601E78F03D5D}"/>
            </c:ext>
          </c:extLst>
        </c:ser>
        <c:ser>
          <c:idx val="3"/>
          <c:order val="3"/>
          <c:tx>
            <c:strRef>
              <c:f>'Niveau intermédiare'!$A$71</c:f>
              <c:strCache>
                <c:ptCount val="1"/>
                <c:pt idx="0">
                  <c:v>Total cumulé "Groupe"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'Niveau intermédiare'!$B$71:$Q$71</c:f>
              <c:numCache>
                <c:formatCode>#,##0_);\(#,##0\)</c:formatCode>
                <c:ptCount val="16"/>
                <c:pt idx="0">
                  <c:v>11829.25</c:v>
                </c:pt>
                <c:pt idx="1">
                  <c:v>20378.5</c:v>
                </c:pt>
                <c:pt idx="2">
                  <c:v>28927.75</c:v>
                </c:pt>
                <c:pt idx="3">
                  <c:v>37477</c:v>
                </c:pt>
                <c:pt idx="4">
                  <c:v>46026.25</c:v>
                </c:pt>
                <c:pt idx="5">
                  <c:v>58575.5</c:v>
                </c:pt>
                <c:pt idx="6">
                  <c:v>67124.75</c:v>
                </c:pt>
                <c:pt idx="7">
                  <c:v>75674</c:v>
                </c:pt>
                <c:pt idx="8">
                  <c:v>84223.25</c:v>
                </c:pt>
                <c:pt idx="9">
                  <c:v>92772.5</c:v>
                </c:pt>
                <c:pt idx="10">
                  <c:v>105321.75</c:v>
                </c:pt>
                <c:pt idx="11">
                  <c:v>113871</c:v>
                </c:pt>
                <c:pt idx="12">
                  <c:v>122420.25</c:v>
                </c:pt>
                <c:pt idx="13">
                  <c:v>130969.5</c:v>
                </c:pt>
                <c:pt idx="14">
                  <c:v>139518.75</c:v>
                </c:pt>
                <c:pt idx="15">
                  <c:v>152068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51-4E84-939B-601E78F03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929999"/>
        <c:axId val="385937071"/>
      </c:lineChart>
      <c:catAx>
        <c:axId val="385939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946639"/>
        <c:crosses val="autoZero"/>
        <c:auto val="1"/>
        <c:lblAlgn val="ctr"/>
        <c:lblOffset val="100"/>
        <c:noMultiLvlLbl val="0"/>
      </c:catAx>
      <c:valAx>
        <c:axId val="3859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939983"/>
        <c:crosses val="autoZero"/>
        <c:crossBetween val="between"/>
      </c:valAx>
      <c:valAx>
        <c:axId val="385937071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929999"/>
        <c:crosses val="max"/>
        <c:crossBetween val="between"/>
      </c:valAx>
      <c:catAx>
        <c:axId val="385929999"/>
        <c:scaling>
          <c:orientation val="minMax"/>
        </c:scaling>
        <c:delete val="1"/>
        <c:axPos val="b"/>
        <c:majorTickMark val="out"/>
        <c:minorTickMark val="none"/>
        <c:tickLblPos val="nextTo"/>
        <c:crossAx val="385937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</xdr:row>
      <xdr:rowOff>149225</xdr:rowOff>
    </xdr:from>
    <xdr:to>
      <xdr:col>16</xdr:col>
      <xdr:colOff>57150</xdr:colOff>
      <xdr:row>17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A431DF-E69B-43D9-B21C-67C7AE9B1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1573696</xdr:colOff>
      <xdr:row>74</xdr:row>
      <xdr:rowOff>189669</xdr:rowOff>
    </xdr:from>
    <xdr:to>
      <xdr:col>9</xdr:col>
      <xdr:colOff>231914</xdr:colOff>
      <xdr:row>88</xdr:row>
      <xdr:rowOff>91107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3699A32-350B-4383-9590-58AF9A19B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oann le Fol" id="{3942BE54-2A5A-4AB5-8118-81AC0E76DB93}" userId="Yoann le Fol" providerId="Non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1-07-26T19:37:56.61" personId="{3942BE54-2A5A-4AB5-8118-81AC0E76DB93}" id="{EC53B0B2-0E73-4323-8391-BF7166901BB3}">
    <text>% de la somme des lignes supérieures</text>
  </threadedComment>
  <threadedComment ref="F52" dT="2021-07-26T19:37:56.61" personId="{3942BE54-2A5A-4AB5-8118-81AC0E76DB93}" id="{58FA1D43-A364-45BC-9F7C-F9F7A7E53AC1}">
    <text>% de la somme des lignes supérieures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7F1D-C7DD-407C-ADEF-A6473D52A98B}">
  <dimension ref="A1:R34"/>
  <sheetViews>
    <sheetView showGridLines="0" tabSelected="1" zoomScale="190" zoomScaleNormal="190" workbookViewId="0">
      <selection activeCell="E13" sqref="E13"/>
    </sheetView>
  </sheetViews>
  <sheetFormatPr baseColWidth="10" defaultColWidth="10.85546875" defaultRowHeight="15" x14ac:dyDescent="0.25"/>
  <cols>
    <col min="1" max="1" width="21.5703125" style="69" customWidth="1"/>
    <col min="2" max="2" width="10.85546875" style="69"/>
    <col min="3" max="3" width="10.85546875" style="78"/>
    <col min="4" max="16384" width="10.85546875" style="69"/>
  </cols>
  <sheetData>
    <row r="1" spans="1:18" s="23" customFormat="1" ht="18" customHeight="1" x14ac:dyDescent="0.25">
      <c r="A1" s="23" t="s">
        <v>91</v>
      </c>
      <c r="C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3" spans="1:18" x14ac:dyDescent="0.25">
      <c r="C3" s="10" t="s">
        <v>53</v>
      </c>
      <c r="E3" s="10" t="s">
        <v>8</v>
      </c>
      <c r="F3" s="10"/>
      <c r="G3" s="10"/>
      <c r="H3" s="10"/>
      <c r="I3" s="10"/>
    </row>
    <row r="4" spans="1:18" x14ac:dyDescent="0.25">
      <c r="C4" s="11" t="s">
        <v>12</v>
      </c>
      <c r="E4" s="11">
        <v>0</v>
      </c>
      <c r="F4" s="11">
        <f>E4+1</f>
        <v>1</v>
      </c>
      <c r="G4" s="11">
        <f>F4+1</f>
        <v>2</v>
      </c>
      <c r="H4" s="11">
        <f>G4+1</f>
        <v>3</v>
      </c>
      <c r="I4" s="11">
        <f>H4+1</f>
        <v>4</v>
      </c>
    </row>
    <row r="5" spans="1:18" ht="7.35" customHeight="1" x14ac:dyDescent="0.25"/>
    <row r="6" spans="1:18" x14ac:dyDescent="0.25">
      <c r="A6" s="69" t="s">
        <v>98</v>
      </c>
      <c r="C6" s="76">
        <f>SUM(E6:I6)</f>
        <v>-10000</v>
      </c>
      <c r="E6" s="72">
        <v>-10000</v>
      </c>
      <c r="F6" s="72"/>
      <c r="G6" s="72"/>
      <c r="H6" s="72"/>
      <c r="I6" s="72"/>
      <c r="L6" s="74"/>
    </row>
    <row r="7" spans="1:18" x14ac:dyDescent="0.25">
      <c r="A7" s="69" t="s">
        <v>92</v>
      </c>
      <c r="C7" s="76">
        <f>SUM(E7:I7)</f>
        <v>16000</v>
      </c>
      <c r="E7" s="72"/>
      <c r="F7" s="72">
        <v>4000</v>
      </c>
      <c r="G7" s="72">
        <v>4000</v>
      </c>
      <c r="H7" s="72">
        <v>4000</v>
      </c>
      <c r="I7" s="72">
        <v>4000</v>
      </c>
    </row>
    <row r="8" spans="1:18" ht="7.35" customHeight="1" x14ac:dyDescent="0.25"/>
    <row r="9" spans="1:18" x14ac:dyDescent="0.25">
      <c r="A9" s="70" t="s">
        <v>10</v>
      </c>
      <c r="C9" s="76">
        <f>SUM(E9:I9)</f>
        <v>6000</v>
      </c>
      <c r="E9" s="71">
        <f>SUM(E6:E7)</f>
        <v>-10000</v>
      </c>
      <c r="F9" s="71">
        <f>SUM(F6:F7)</f>
        <v>4000</v>
      </c>
      <c r="G9" s="71">
        <f>SUM(G6:G7)</f>
        <v>4000</v>
      </c>
      <c r="H9" s="71">
        <f>SUM(H6:H7)</f>
        <v>4000</v>
      </c>
      <c r="I9" s="71">
        <f>SUM(I6:I7)</f>
        <v>4000</v>
      </c>
    </row>
    <row r="10" spans="1:18" x14ac:dyDescent="0.25">
      <c r="A10" s="70" t="s">
        <v>87</v>
      </c>
      <c r="E10" s="71">
        <f>E9</f>
        <v>-10000</v>
      </c>
      <c r="F10" s="71">
        <f>E10+F9</f>
        <v>-6000</v>
      </c>
      <c r="G10" s="71">
        <f>F10+G9</f>
        <v>-2000</v>
      </c>
      <c r="H10" s="71">
        <f>G10+H9</f>
        <v>2000</v>
      </c>
      <c r="I10" s="73">
        <f>H10+I9</f>
        <v>6000</v>
      </c>
    </row>
    <row r="12" spans="1:18" x14ac:dyDescent="0.25">
      <c r="A12" s="69" t="s">
        <v>90</v>
      </c>
      <c r="B12" s="101"/>
      <c r="C12" s="80" t="s">
        <v>29</v>
      </c>
    </row>
    <row r="14" spans="1:18" x14ac:dyDescent="0.25">
      <c r="A14" s="69" t="s">
        <v>86</v>
      </c>
      <c r="B14" s="77">
        <v>0.1</v>
      </c>
    </row>
    <row r="16" spans="1:18" x14ac:dyDescent="0.25">
      <c r="A16" s="70" t="s">
        <v>85</v>
      </c>
    </row>
    <row r="17" spans="1:9" x14ac:dyDescent="0.25">
      <c r="A17" s="75" t="s">
        <v>89</v>
      </c>
      <c r="C17" s="76">
        <f>SUM(E17:I17)</f>
        <v>2679.4617853971699</v>
      </c>
      <c r="E17" s="71">
        <f>E9/(1+$B$14)^E4</f>
        <v>-10000</v>
      </c>
      <c r="F17" s="71">
        <f>F9/(1+$B$14)^F4</f>
        <v>3636.363636363636</v>
      </c>
      <c r="G17" s="71">
        <f>G9/(1+$B$14)^G4</f>
        <v>3305.7851239669417</v>
      </c>
      <c r="H17" s="71">
        <f>H9/(1+$B$14)^H4</f>
        <v>3005.2592036063102</v>
      </c>
      <c r="I17" s="71">
        <f>I9/(1+$B$14)^I4</f>
        <v>2732.0538214602821</v>
      </c>
    </row>
    <row r="18" spans="1:9" x14ac:dyDescent="0.25">
      <c r="A18" s="75" t="s">
        <v>88</v>
      </c>
      <c r="C18" s="78">
        <f>E9+NPV(B14,F9:I9)</f>
        <v>2679.4617853971704</v>
      </c>
    </row>
    <row r="20" spans="1:9" x14ac:dyDescent="0.25">
      <c r="A20" s="70" t="s">
        <v>75</v>
      </c>
      <c r="C20" s="79">
        <f>IRR(E9:I9)</f>
        <v>0.21862269609829088</v>
      </c>
    </row>
    <row r="24" spans="1:9" x14ac:dyDescent="0.25">
      <c r="A24" s="69" t="s">
        <v>118</v>
      </c>
    </row>
    <row r="26" spans="1:9" x14ac:dyDescent="0.25">
      <c r="B26" s="88"/>
      <c r="C26" s="102" t="s">
        <v>8</v>
      </c>
      <c r="D26" s="103"/>
      <c r="E26" s="104"/>
    </row>
    <row r="27" spans="1:9" x14ac:dyDescent="0.25">
      <c r="B27" s="42"/>
      <c r="C27" s="11">
        <v>0</v>
      </c>
      <c r="D27" s="11">
        <f>C27+1</f>
        <v>1</v>
      </c>
      <c r="E27" s="11">
        <f>D27+1</f>
        <v>2</v>
      </c>
    </row>
    <row r="28" spans="1:9" x14ac:dyDescent="0.25">
      <c r="B28" t="s">
        <v>116</v>
      </c>
      <c r="C28" s="96">
        <v>100</v>
      </c>
      <c r="D28" s="96"/>
      <c r="E28" s="96"/>
    </row>
    <row r="29" spans="1:9" x14ac:dyDescent="0.25">
      <c r="B29" t="s">
        <v>115</v>
      </c>
      <c r="C29" s="96"/>
      <c r="D29" s="96">
        <v>65</v>
      </c>
      <c r="E29" s="96">
        <v>75</v>
      </c>
    </row>
    <row r="30" spans="1:9" x14ac:dyDescent="0.25">
      <c r="B30" s="95" t="s">
        <v>10</v>
      </c>
      <c r="C30" s="97">
        <f>C29-C28</f>
        <v>-100</v>
      </c>
      <c r="D30" s="97">
        <f>D29-D28</f>
        <v>65</v>
      </c>
      <c r="E30" s="97">
        <f>E29-E28</f>
        <v>75</v>
      </c>
    </row>
    <row r="31" spans="1:9" x14ac:dyDescent="0.25">
      <c r="B31"/>
      <c r="C31" s="96"/>
      <c r="D31" s="96"/>
      <c r="E31" s="96"/>
    </row>
    <row r="32" spans="1:9" x14ac:dyDescent="0.25">
      <c r="B32" t="s">
        <v>114</v>
      </c>
      <c r="C32" s="98">
        <f>IRR(C30:E30)</f>
        <v>0.25</v>
      </c>
      <c r="D32" s="96"/>
      <c r="E32" s="96"/>
    </row>
    <row r="33" spans="2:5" x14ac:dyDescent="0.25">
      <c r="B33"/>
      <c r="C33" s="96"/>
      <c r="D33" s="96"/>
      <c r="E33" s="96"/>
    </row>
    <row r="34" spans="2:5" x14ac:dyDescent="0.25">
      <c r="B34" s="99" t="s">
        <v>113</v>
      </c>
      <c r="C34" s="100"/>
      <c r="D34" s="100">
        <f>D30/(1+$C$32)</f>
        <v>52</v>
      </c>
      <c r="E34" s="100">
        <f>E30/(1+$C$32)^2</f>
        <v>48</v>
      </c>
    </row>
  </sheetData>
  <mergeCells count="1">
    <mergeCell ref="C26:E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5D2F-6AED-451F-896A-B0F55807ACE9}">
  <dimension ref="A1:Y99"/>
  <sheetViews>
    <sheetView zoomScale="180" zoomScaleNormal="180" workbookViewId="0">
      <selection activeCell="G45" sqref="G45"/>
    </sheetView>
  </sheetViews>
  <sheetFormatPr baseColWidth="10" defaultColWidth="11.42578125" defaultRowHeight="15" customHeight="1" x14ac:dyDescent="0.25"/>
  <cols>
    <col min="1" max="1" width="24.5703125" style="6" customWidth="1"/>
    <col min="2" max="5" width="11.42578125" style="6" customWidth="1"/>
    <col min="6" max="22" width="11.42578125" style="7" customWidth="1"/>
    <col min="23" max="16384" width="11.42578125" style="6"/>
  </cols>
  <sheetData>
    <row r="1" spans="1:25" s="23" customFormat="1" ht="15" customHeight="1" x14ac:dyDescent="0.25">
      <c r="A1" s="23" t="s">
        <v>66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3" spans="1:25" ht="15" customHeight="1" x14ac:dyDescent="0.25">
      <c r="A3" s="8" t="s">
        <v>46</v>
      </c>
      <c r="C3" s="7"/>
      <c r="D3" s="7"/>
      <c r="E3" s="7"/>
    </row>
    <row r="4" spans="1:25" ht="15" customHeight="1" x14ac:dyDescent="0.25">
      <c r="B4" s="10" t="s">
        <v>45</v>
      </c>
      <c r="C4" s="102" t="s">
        <v>55</v>
      </c>
      <c r="D4" s="104"/>
      <c r="F4" s="10" t="s">
        <v>53</v>
      </c>
      <c r="G4" s="10" t="s">
        <v>93</v>
      </c>
      <c r="I4" s="10" t="s">
        <v>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5" ht="15" customHeight="1" x14ac:dyDescent="0.25">
      <c r="B5" s="11" t="s">
        <v>17</v>
      </c>
      <c r="C5" s="11" t="s">
        <v>43</v>
      </c>
      <c r="D5" s="11" t="s">
        <v>44</v>
      </c>
      <c r="F5" s="11" t="s">
        <v>12</v>
      </c>
      <c r="G5" s="11" t="s">
        <v>12</v>
      </c>
      <c r="I5" s="11">
        <v>0</v>
      </c>
      <c r="J5" s="11">
        <f>I5+1</f>
        <v>1</v>
      </c>
      <c r="K5" s="11">
        <f t="shared" ref="K5:R5" si="0">J5+1</f>
        <v>2</v>
      </c>
      <c r="L5" s="11">
        <f t="shared" si="0"/>
        <v>3</v>
      </c>
      <c r="M5" s="11">
        <f t="shared" si="0"/>
        <v>4</v>
      </c>
      <c r="N5" s="11">
        <f t="shared" si="0"/>
        <v>5</v>
      </c>
      <c r="O5" s="11">
        <f t="shared" si="0"/>
        <v>6</v>
      </c>
      <c r="P5" s="11">
        <f t="shared" si="0"/>
        <v>7</v>
      </c>
      <c r="Q5" s="11">
        <f t="shared" si="0"/>
        <v>8</v>
      </c>
      <c r="R5" s="11">
        <f t="shared" si="0"/>
        <v>9</v>
      </c>
      <c r="S5" s="11">
        <f t="shared" ref="S5" si="1">R5+1</f>
        <v>10</v>
      </c>
      <c r="T5" s="11">
        <f t="shared" ref="T5" si="2">S5+1</f>
        <v>11</v>
      </c>
      <c r="U5" s="11">
        <f t="shared" ref="U5" si="3">T5+1</f>
        <v>12</v>
      </c>
      <c r="V5" s="11">
        <f t="shared" ref="V5:X5" si="4">U5+1</f>
        <v>13</v>
      </c>
      <c r="W5" s="11">
        <f t="shared" si="4"/>
        <v>14</v>
      </c>
      <c r="X5" s="11">
        <f t="shared" si="4"/>
        <v>15</v>
      </c>
    </row>
    <row r="6" spans="1:25" ht="15" customHeight="1" x14ac:dyDescent="0.25">
      <c r="A6" s="6" t="s">
        <v>42</v>
      </c>
      <c r="B6" s="12">
        <v>15000</v>
      </c>
      <c r="C6" s="13">
        <v>3</v>
      </c>
      <c r="D6" s="7">
        <f>B6*C6</f>
        <v>45000</v>
      </c>
      <c r="F6" s="14">
        <f>SUM(I6:X6)</f>
        <v>45000</v>
      </c>
      <c r="G6" s="14">
        <f>I6+NPV($B$47,J6:X6)</f>
        <v>45000</v>
      </c>
      <c r="I6" s="12">
        <f>D6</f>
        <v>45000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5" ht="15" customHeight="1" x14ac:dyDescent="0.25">
      <c r="A7" s="15" t="s">
        <v>7</v>
      </c>
      <c r="B7" s="16">
        <f>B6</f>
        <v>15000</v>
      </c>
      <c r="C7" s="13">
        <v>0.02</v>
      </c>
      <c r="D7" s="7">
        <f>B7*C7</f>
        <v>300</v>
      </c>
      <c r="F7" s="14">
        <f>SUM(I7:X7)</f>
        <v>4500</v>
      </c>
      <c r="G7" s="14">
        <f>I7+NPV($B$47,J7:X7)</f>
        <v>2281.8238518925077</v>
      </c>
      <c r="I7" s="12"/>
      <c r="J7" s="12">
        <f>D7</f>
        <v>300</v>
      </c>
      <c r="K7" s="12">
        <f t="shared" ref="K7:R7" si="5">J7</f>
        <v>300</v>
      </c>
      <c r="L7" s="12">
        <f t="shared" si="5"/>
        <v>300</v>
      </c>
      <c r="M7" s="12">
        <f t="shared" si="5"/>
        <v>300</v>
      </c>
      <c r="N7" s="12">
        <f t="shared" si="5"/>
        <v>300</v>
      </c>
      <c r="O7" s="12">
        <f t="shared" si="5"/>
        <v>300</v>
      </c>
      <c r="P7" s="12">
        <f t="shared" si="5"/>
        <v>300</v>
      </c>
      <c r="Q7" s="12">
        <f t="shared" si="5"/>
        <v>300</v>
      </c>
      <c r="R7" s="12">
        <f t="shared" si="5"/>
        <v>300</v>
      </c>
      <c r="S7" s="12">
        <f t="shared" ref="S7" si="6">R7</f>
        <v>300</v>
      </c>
      <c r="T7" s="12">
        <f t="shared" ref="T7" si="7">S7</f>
        <v>300</v>
      </c>
      <c r="U7" s="12">
        <f t="shared" ref="U7" si="8">T7</f>
        <v>300</v>
      </c>
      <c r="V7" s="12">
        <f t="shared" ref="V7:X7" si="9">U7</f>
        <v>300</v>
      </c>
      <c r="W7" s="12">
        <f t="shared" si="9"/>
        <v>300</v>
      </c>
      <c r="X7" s="12">
        <f t="shared" si="9"/>
        <v>300</v>
      </c>
    </row>
    <row r="8" spans="1:25" ht="15" customHeight="1" x14ac:dyDescent="0.25">
      <c r="A8" s="15" t="s">
        <v>10</v>
      </c>
      <c r="B8" s="16"/>
      <c r="C8" s="16"/>
      <c r="D8" s="7"/>
      <c r="F8" s="17">
        <f>SUM(F6:F7)</f>
        <v>49500</v>
      </c>
      <c r="G8" s="17">
        <f>SUM(G6:G7)</f>
        <v>47281.823851892506</v>
      </c>
      <c r="W8" s="7"/>
      <c r="X8" s="7"/>
      <c r="Y8" s="7"/>
    </row>
    <row r="9" spans="1:25" ht="15" customHeight="1" x14ac:dyDescent="0.25">
      <c r="C9" s="9"/>
      <c r="D9" s="9"/>
      <c r="W9" s="7"/>
    </row>
    <row r="10" spans="1:25" ht="15" customHeight="1" x14ac:dyDescent="0.25">
      <c r="A10" s="8" t="s">
        <v>18</v>
      </c>
      <c r="W10" s="7"/>
    </row>
    <row r="11" spans="1:25" ht="15" customHeight="1" x14ac:dyDescent="0.25">
      <c r="W11" s="7"/>
    </row>
    <row r="12" spans="1:25" ht="15" customHeight="1" x14ac:dyDescent="0.25">
      <c r="A12" s="6" t="s">
        <v>19</v>
      </c>
      <c r="B12" s="18">
        <v>5500</v>
      </c>
      <c r="C12" s="6" t="s">
        <v>48</v>
      </c>
      <c r="W12" s="7"/>
    </row>
    <row r="13" spans="1:25" ht="15" customHeight="1" x14ac:dyDescent="0.25">
      <c r="A13" s="6" t="s">
        <v>47</v>
      </c>
      <c r="B13" s="19">
        <v>0.65</v>
      </c>
      <c r="W13" s="7"/>
    </row>
    <row r="14" spans="1:25" ht="15" customHeight="1" x14ac:dyDescent="0.25">
      <c r="A14" s="6" t="s">
        <v>49</v>
      </c>
      <c r="B14" s="6">
        <f>B6*B12/1000*B13</f>
        <v>53625</v>
      </c>
      <c r="C14" s="6" t="s">
        <v>50</v>
      </c>
      <c r="W14" s="7"/>
    </row>
    <row r="15" spans="1:25" ht="15" customHeight="1" x14ac:dyDescent="0.25">
      <c r="A15" s="6" t="s">
        <v>62</v>
      </c>
      <c r="B15" s="6">
        <f>B14*365/1000</f>
        <v>19573.125</v>
      </c>
      <c r="C15" s="6" t="s">
        <v>52</v>
      </c>
      <c r="F15" s="14">
        <f>SUM(I15:X15)</f>
        <v>313170</v>
      </c>
      <c r="G15" s="14">
        <f>I15+NPV($B$47,J15:X15)</f>
        <v>168447.86993691177</v>
      </c>
      <c r="I15" s="12">
        <f>$B$15</f>
        <v>19573.125</v>
      </c>
      <c r="J15" s="12">
        <f t="shared" ref="J15:X15" si="10">$B$15</f>
        <v>19573.125</v>
      </c>
      <c r="K15" s="12">
        <f t="shared" si="10"/>
        <v>19573.125</v>
      </c>
      <c r="L15" s="12">
        <f t="shared" si="10"/>
        <v>19573.125</v>
      </c>
      <c r="M15" s="12">
        <f t="shared" si="10"/>
        <v>19573.125</v>
      </c>
      <c r="N15" s="12">
        <f t="shared" si="10"/>
        <v>19573.125</v>
      </c>
      <c r="O15" s="12">
        <f t="shared" si="10"/>
        <v>19573.125</v>
      </c>
      <c r="P15" s="12">
        <f t="shared" si="10"/>
        <v>19573.125</v>
      </c>
      <c r="Q15" s="12">
        <f t="shared" si="10"/>
        <v>19573.125</v>
      </c>
      <c r="R15" s="12">
        <f t="shared" si="10"/>
        <v>19573.125</v>
      </c>
      <c r="S15" s="12">
        <f t="shared" si="10"/>
        <v>19573.125</v>
      </c>
      <c r="T15" s="12">
        <f t="shared" si="10"/>
        <v>19573.125</v>
      </c>
      <c r="U15" s="12">
        <f t="shared" si="10"/>
        <v>19573.125</v>
      </c>
      <c r="V15" s="12">
        <f t="shared" si="10"/>
        <v>19573.125</v>
      </c>
      <c r="W15" s="12">
        <f t="shared" si="10"/>
        <v>19573.125</v>
      </c>
      <c r="X15" s="12">
        <f t="shared" si="10"/>
        <v>19573.125</v>
      </c>
    </row>
    <row r="17" spans="1:24" ht="15" customHeight="1" x14ac:dyDescent="0.25">
      <c r="A17" s="20" t="s">
        <v>51</v>
      </c>
    </row>
    <row r="19" spans="1:24" ht="15" customHeight="1" x14ac:dyDescent="0.25">
      <c r="A19" s="8" t="s">
        <v>56</v>
      </c>
    </row>
    <row r="21" spans="1:24" ht="15" customHeight="1" x14ac:dyDescent="0.25">
      <c r="A21" s="6" t="s">
        <v>58</v>
      </c>
      <c r="B21" s="21">
        <f>F8/F15</f>
        <v>0.15806111696522657</v>
      </c>
      <c r="C21" s="6" t="s">
        <v>33</v>
      </c>
      <c r="J21" s="32"/>
    </row>
    <row r="23" spans="1:24" ht="15" customHeight="1" x14ac:dyDescent="0.25">
      <c r="A23" s="6" t="s">
        <v>59</v>
      </c>
      <c r="B23" s="22">
        <v>0.1</v>
      </c>
    </row>
    <row r="24" spans="1:24" ht="15" customHeight="1" x14ac:dyDescent="0.25">
      <c r="A24" s="6" t="s">
        <v>57</v>
      </c>
      <c r="B24" s="82">
        <f>G8/G15</f>
        <v>0.2806911353025765</v>
      </c>
      <c r="C24" s="6" t="s">
        <v>33</v>
      </c>
    </row>
    <row r="26" spans="1:24" ht="15" customHeight="1" x14ac:dyDescent="0.25">
      <c r="A26" s="20" t="s">
        <v>54</v>
      </c>
    </row>
    <row r="28" spans="1:24" s="23" customFormat="1" ht="15" customHeight="1" x14ac:dyDescent="0.25">
      <c r="A28" s="23" t="s">
        <v>67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30" spans="1:24" ht="15" customHeight="1" x14ac:dyDescent="0.25">
      <c r="A30" s="8" t="s">
        <v>46</v>
      </c>
      <c r="C30" s="7"/>
      <c r="D30" s="7"/>
      <c r="E30" s="7"/>
    </row>
    <row r="31" spans="1:24" ht="15" customHeight="1" x14ac:dyDescent="0.25">
      <c r="B31" s="10" t="s">
        <v>45</v>
      </c>
      <c r="C31" s="102" t="s">
        <v>55</v>
      </c>
      <c r="D31" s="104"/>
      <c r="F31" s="10" t="s">
        <v>53</v>
      </c>
      <c r="G31" s="10" t="s">
        <v>93</v>
      </c>
      <c r="I31" s="10" t="s">
        <v>8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5" customHeight="1" x14ac:dyDescent="0.25">
      <c r="B32" s="11" t="s">
        <v>61</v>
      </c>
      <c r="C32" s="11" t="s">
        <v>76</v>
      </c>
      <c r="D32" s="11" t="s">
        <v>44</v>
      </c>
      <c r="F32" s="11" t="s">
        <v>12</v>
      </c>
      <c r="G32" s="11" t="s">
        <v>12</v>
      </c>
      <c r="I32" s="11">
        <v>0</v>
      </c>
      <c r="J32" s="11">
        <f>I32+1</f>
        <v>1</v>
      </c>
      <c r="K32" s="11">
        <f t="shared" ref="K32:R32" si="11">J32+1</f>
        <v>2</v>
      </c>
      <c r="L32" s="11">
        <f t="shared" si="11"/>
        <v>3</v>
      </c>
      <c r="M32" s="11">
        <f t="shared" si="11"/>
        <v>4</v>
      </c>
      <c r="N32" s="11">
        <f t="shared" si="11"/>
        <v>5</v>
      </c>
      <c r="O32" s="11">
        <f t="shared" si="11"/>
        <v>6</v>
      </c>
      <c r="P32" s="11">
        <f t="shared" si="11"/>
        <v>7</v>
      </c>
      <c r="Q32" s="11">
        <f t="shared" si="11"/>
        <v>8</v>
      </c>
      <c r="R32" s="11">
        <f t="shared" si="11"/>
        <v>9</v>
      </c>
      <c r="S32" s="11">
        <f t="shared" ref="S32" si="12">R32+1</f>
        <v>10</v>
      </c>
      <c r="T32" s="11">
        <f t="shared" ref="T32" si="13">S32+1</f>
        <v>11</v>
      </c>
      <c r="U32" s="11">
        <f t="shared" ref="U32:X32" si="14">T32+1</f>
        <v>12</v>
      </c>
      <c r="V32" s="11">
        <f t="shared" ref="V32" si="15">U32+1</f>
        <v>13</v>
      </c>
      <c r="W32" s="11">
        <f t="shared" si="14"/>
        <v>14</v>
      </c>
      <c r="X32" s="11">
        <f t="shared" si="14"/>
        <v>15</v>
      </c>
    </row>
    <row r="33" spans="1:24" ht="15" customHeight="1" x14ac:dyDescent="0.25">
      <c r="A33" s="6" t="s">
        <v>42</v>
      </c>
      <c r="B33" s="12">
        <v>8000</v>
      </c>
      <c r="C33" s="13">
        <v>0.5</v>
      </c>
      <c r="D33" s="7">
        <f>B33*C33</f>
        <v>4000</v>
      </c>
      <c r="F33" s="14">
        <f>SUM(I33:X33)</f>
        <v>16000</v>
      </c>
      <c r="G33" s="14">
        <f>I33+NPV($B$47,J33:X33)</f>
        <v>13947.407963936888</v>
      </c>
      <c r="I33" s="12">
        <f>D33</f>
        <v>4000</v>
      </c>
      <c r="J33" s="12"/>
      <c r="K33" s="12"/>
      <c r="L33" s="12"/>
      <c r="M33" s="12"/>
      <c r="N33" s="12">
        <v>4000</v>
      </c>
      <c r="O33" s="12"/>
      <c r="P33" s="12"/>
      <c r="Q33" s="12"/>
      <c r="R33" s="12"/>
      <c r="S33" s="12">
        <v>4000</v>
      </c>
      <c r="T33" s="12"/>
      <c r="U33" s="12"/>
      <c r="V33" s="12"/>
      <c r="W33" s="12"/>
      <c r="X33" s="12">
        <v>4000</v>
      </c>
    </row>
    <row r="34" spans="1:24" ht="15" customHeight="1" x14ac:dyDescent="0.25">
      <c r="A34" s="15" t="s">
        <v>7</v>
      </c>
      <c r="B34" s="16">
        <f>B33</f>
        <v>8000</v>
      </c>
      <c r="C34" s="13">
        <v>0.09</v>
      </c>
      <c r="D34" s="7">
        <f>B34*C34</f>
        <v>720</v>
      </c>
      <c r="F34" s="14">
        <f>SUM(I34:X34)</f>
        <v>10800</v>
      </c>
      <c r="G34" s="14">
        <f>I34+NPV($B$47,J34:X34)</f>
        <v>5476.3772445420191</v>
      </c>
      <c r="I34" s="12"/>
      <c r="J34" s="12">
        <f>D34</f>
        <v>720</v>
      </c>
      <c r="K34" s="12">
        <f t="shared" ref="K34:R34" si="16">J34</f>
        <v>720</v>
      </c>
      <c r="L34" s="12">
        <f t="shared" si="16"/>
        <v>720</v>
      </c>
      <c r="M34" s="12">
        <f t="shared" si="16"/>
        <v>720</v>
      </c>
      <c r="N34" s="12">
        <f t="shared" si="16"/>
        <v>720</v>
      </c>
      <c r="O34" s="12">
        <f t="shared" si="16"/>
        <v>720</v>
      </c>
      <c r="P34" s="12">
        <f t="shared" si="16"/>
        <v>720</v>
      </c>
      <c r="Q34" s="12">
        <f t="shared" si="16"/>
        <v>720</v>
      </c>
      <c r="R34" s="12">
        <f t="shared" si="16"/>
        <v>720</v>
      </c>
      <c r="S34" s="12">
        <f t="shared" ref="S34" si="17">R34</f>
        <v>720</v>
      </c>
      <c r="T34" s="12">
        <f t="shared" ref="T34" si="18">S34</f>
        <v>720</v>
      </c>
      <c r="U34" s="12">
        <f t="shared" ref="U34:X34" si="19">T34</f>
        <v>720</v>
      </c>
      <c r="V34" s="12">
        <f t="shared" ref="V34" si="20">U34</f>
        <v>720</v>
      </c>
      <c r="W34" s="12">
        <f t="shared" si="19"/>
        <v>720</v>
      </c>
      <c r="X34" s="12">
        <f t="shared" si="19"/>
        <v>720</v>
      </c>
    </row>
    <row r="35" spans="1:24" ht="15" customHeight="1" x14ac:dyDescent="0.25">
      <c r="A35" s="15"/>
      <c r="B35" s="16"/>
      <c r="C35" s="27"/>
      <c r="D35" s="27"/>
      <c r="E35" s="7"/>
      <c r="W35" s="7"/>
    </row>
    <row r="36" spans="1:24" ht="15" customHeight="1" x14ac:dyDescent="0.25">
      <c r="B36" s="10" t="s">
        <v>63</v>
      </c>
      <c r="C36" s="102" t="s">
        <v>55</v>
      </c>
      <c r="D36" s="104"/>
      <c r="E36" s="7"/>
      <c r="F36" s="10" t="s">
        <v>53</v>
      </c>
      <c r="G36" s="10" t="s">
        <v>93</v>
      </c>
      <c r="W36" s="7"/>
    </row>
    <row r="37" spans="1:24" ht="15" customHeight="1" x14ac:dyDescent="0.25">
      <c r="B37" s="11" t="s">
        <v>119</v>
      </c>
      <c r="C37" s="11" t="s">
        <v>64</v>
      </c>
      <c r="D37" s="11" t="s">
        <v>65</v>
      </c>
      <c r="E37" s="7"/>
      <c r="F37" s="11" t="s">
        <v>12</v>
      </c>
      <c r="G37" s="11" t="s">
        <v>12</v>
      </c>
      <c r="W37" s="7"/>
    </row>
    <row r="38" spans="1:24" ht="15" customHeight="1" x14ac:dyDescent="0.25">
      <c r="A38" s="15" t="s">
        <v>60</v>
      </c>
      <c r="B38" s="84">
        <v>0.4</v>
      </c>
      <c r="C38" s="13">
        <v>1</v>
      </c>
      <c r="D38" s="29">
        <f>B38*C38</f>
        <v>0.4</v>
      </c>
      <c r="E38" s="7"/>
      <c r="F38" s="14">
        <f>SUM(I38:X38)</f>
        <v>125268</v>
      </c>
      <c r="G38" s="14">
        <f>I38+NPV($B$47,J38:X38)</f>
        <v>67379.147974764724</v>
      </c>
      <c r="I38" s="12">
        <f>$D$38*I15</f>
        <v>7829.25</v>
      </c>
      <c r="J38" s="12">
        <f t="shared" ref="J38:V38" si="21">$D$38*J15</f>
        <v>7829.25</v>
      </c>
      <c r="K38" s="12">
        <f t="shared" si="21"/>
        <v>7829.25</v>
      </c>
      <c r="L38" s="12">
        <f t="shared" si="21"/>
        <v>7829.25</v>
      </c>
      <c r="M38" s="12">
        <f t="shared" si="21"/>
        <v>7829.25</v>
      </c>
      <c r="N38" s="12">
        <f t="shared" si="21"/>
        <v>7829.25</v>
      </c>
      <c r="O38" s="12">
        <f t="shared" si="21"/>
        <v>7829.25</v>
      </c>
      <c r="P38" s="12">
        <f t="shared" si="21"/>
        <v>7829.25</v>
      </c>
      <c r="Q38" s="12">
        <f t="shared" si="21"/>
        <v>7829.25</v>
      </c>
      <c r="R38" s="12">
        <f t="shared" si="21"/>
        <v>7829.25</v>
      </c>
      <c r="S38" s="12">
        <f t="shared" si="21"/>
        <v>7829.25</v>
      </c>
      <c r="T38" s="12">
        <f t="shared" si="21"/>
        <v>7829.25</v>
      </c>
      <c r="U38" s="12">
        <f t="shared" si="21"/>
        <v>7829.25</v>
      </c>
      <c r="V38" s="12">
        <f t="shared" si="21"/>
        <v>7829.25</v>
      </c>
      <c r="W38" s="12">
        <f t="shared" ref="W38:X38" si="22">$D$38*W15</f>
        <v>7829.25</v>
      </c>
      <c r="X38" s="12">
        <f t="shared" si="22"/>
        <v>7829.25</v>
      </c>
    </row>
    <row r="39" spans="1:24" ht="15" customHeight="1" x14ac:dyDescent="0.25">
      <c r="A39" s="15"/>
      <c r="B39" s="16"/>
      <c r="C39" s="25"/>
      <c r="D39" s="26"/>
      <c r="E39" s="7"/>
      <c r="W39" s="7"/>
    </row>
    <row r="40" spans="1:24" ht="15" customHeight="1" x14ac:dyDescent="0.25">
      <c r="C40" s="9"/>
      <c r="D40" s="9"/>
    </row>
    <row r="41" spans="1:24" ht="15" customHeight="1" x14ac:dyDescent="0.25">
      <c r="A41" s="15" t="s">
        <v>10</v>
      </c>
      <c r="B41" s="16"/>
      <c r="C41" s="16"/>
      <c r="D41" s="7"/>
      <c r="F41" s="17">
        <f>SUM(F33:F34)+F38</f>
        <v>152068</v>
      </c>
      <c r="G41" s="17">
        <f>SUM(G33:G34)+G38</f>
        <v>86802.933183243629</v>
      </c>
      <c r="W41" s="7"/>
    </row>
    <row r="42" spans="1:24" ht="15" customHeight="1" x14ac:dyDescent="0.25">
      <c r="A42" s="15"/>
      <c r="B42" s="16"/>
      <c r="C42" s="16"/>
      <c r="D42" s="7"/>
      <c r="E42" s="7"/>
      <c r="W42" s="7"/>
    </row>
    <row r="43" spans="1:24" ht="15" customHeight="1" x14ac:dyDescent="0.25">
      <c r="A43" s="8" t="s">
        <v>56</v>
      </c>
    </row>
    <row r="45" spans="1:24" ht="15" customHeight="1" x14ac:dyDescent="0.25">
      <c r="A45" s="6" t="s">
        <v>58</v>
      </c>
      <c r="B45" s="21">
        <f>F41/F15</f>
        <v>0.4855765239326883</v>
      </c>
      <c r="C45" s="6" t="s">
        <v>33</v>
      </c>
    </row>
    <row r="47" spans="1:24" ht="15" customHeight="1" x14ac:dyDescent="0.25">
      <c r="A47" s="6" t="s">
        <v>59</v>
      </c>
      <c r="B47" s="35">
        <f>B23</f>
        <v>0.1</v>
      </c>
    </row>
    <row r="48" spans="1:24" ht="15" customHeight="1" x14ac:dyDescent="0.25">
      <c r="A48" s="6" t="s">
        <v>57</v>
      </c>
      <c r="B48" s="82">
        <f>G41/G15</f>
        <v>0.51531036406547404</v>
      </c>
      <c r="C48" s="6" t="s">
        <v>33</v>
      </c>
    </row>
    <row r="50" spans="1:22" ht="15" customHeight="1" x14ac:dyDescent="0.25">
      <c r="A50" s="20" t="s">
        <v>54</v>
      </c>
    </row>
    <row r="52" spans="1:22" s="23" customFormat="1" ht="15" customHeight="1" x14ac:dyDescent="0.25">
      <c r="A52" s="23" t="s">
        <v>68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5" spans="1:22" ht="15" customHeight="1" x14ac:dyDescent="0.25">
      <c r="A55" s="30" t="s">
        <v>69</v>
      </c>
      <c r="B55" s="10" t="str">
        <f t="shared" ref="B55:K58" si="23">I4</f>
        <v>Années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6"/>
      <c r="S55" s="6"/>
      <c r="T55" s="6"/>
      <c r="U55" s="6"/>
      <c r="V55" s="6"/>
    </row>
    <row r="56" spans="1:22" ht="15" customHeight="1" x14ac:dyDescent="0.25">
      <c r="B56" s="11">
        <v>0</v>
      </c>
      <c r="C56" s="11">
        <f>B56+1</f>
        <v>1</v>
      </c>
      <c r="D56" s="11">
        <f t="shared" ref="D56:K56" si="24">C56+1</f>
        <v>2</v>
      </c>
      <c r="E56" s="11">
        <f t="shared" si="24"/>
        <v>3</v>
      </c>
      <c r="F56" s="11">
        <f t="shared" si="24"/>
        <v>4</v>
      </c>
      <c r="G56" s="11">
        <f t="shared" si="24"/>
        <v>5</v>
      </c>
      <c r="H56" s="11">
        <f t="shared" si="24"/>
        <v>6</v>
      </c>
      <c r="I56" s="11">
        <f t="shared" si="24"/>
        <v>7</v>
      </c>
      <c r="J56" s="11">
        <f t="shared" si="24"/>
        <v>8</v>
      </c>
      <c r="K56" s="11">
        <f t="shared" si="24"/>
        <v>9</v>
      </c>
      <c r="L56" s="11">
        <f t="shared" ref="L56" si="25">K56+1</f>
        <v>10</v>
      </c>
      <c r="M56" s="11">
        <f t="shared" ref="M56" si="26">L56+1</f>
        <v>11</v>
      </c>
      <c r="N56" s="11">
        <f t="shared" ref="N56" si="27">M56+1</f>
        <v>12</v>
      </c>
      <c r="O56" s="11">
        <f t="shared" ref="O56:Q56" si="28">N56+1</f>
        <v>13</v>
      </c>
      <c r="P56" s="11">
        <f t="shared" si="28"/>
        <v>14</v>
      </c>
      <c r="Q56" s="11">
        <f t="shared" si="28"/>
        <v>15</v>
      </c>
    </row>
    <row r="57" spans="1:22" ht="15" customHeight="1" x14ac:dyDescent="0.25">
      <c r="A57" s="6" t="s">
        <v>42</v>
      </c>
      <c r="B57" s="36">
        <f t="shared" si="23"/>
        <v>45000</v>
      </c>
      <c r="C57" s="36">
        <f t="shared" si="23"/>
        <v>0</v>
      </c>
      <c r="D57" s="36">
        <f t="shared" si="23"/>
        <v>0</v>
      </c>
      <c r="E57" s="36">
        <f t="shared" si="23"/>
        <v>0</v>
      </c>
      <c r="F57" s="36">
        <f t="shared" si="23"/>
        <v>0</v>
      </c>
      <c r="G57" s="36">
        <f t="shared" si="23"/>
        <v>0</v>
      </c>
      <c r="H57" s="36">
        <f t="shared" si="23"/>
        <v>0</v>
      </c>
      <c r="I57" s="36">
        <f t="shared" si="23"/>
        <v>0</v>
      </c>
      <c r="J57" s="36">
        <f t="shared" si="23"/>
        <v>0</v>
      </c>
      <c r="K57" s="36">
        <f t="shared" si="23"/>
        <v>0</v>
      </c>
      <c r="L57" s="36">
        <f t="shared" ref="L57:L58" si="29">S6</f>
        <v>0</v>
      </c>
      <c r="M57" s="36">
        <f t="shared" ref="M57:M58" si="30">T6</f>
        <v>0</v>
      </c>
      <c r="N57" s="36">
        <f t="shared" ref="N57:N58" si="31">U6</f>
        <v>0</v>
      </c>
      <c r="O57" s="36">
        <f t="shared" ref="O57:Q58" si="32">V6</f>
        <v>0</v>
      </c>
      <c r="P57" s="36">
        <f t="shared" si="32"/>
        <v>0</v>
      </c>
      <c r="Q57" s="36">
        <f t="shared" si="32"/>
        <v>0</v>
      </c>
      <c r="R57" s="6"/>
      <c r="S57" s="6"/>
      <c r="T57" s="6"/>
      <c r="U57" s="6"/>
      <c r="V57" s="6"/>
    </row>
    <row r="58" spans="1:22" ht="15" customHeight="1" x14ac:dyDescent="0.25">
      <c r="A58" s="15" t="s">
        <v>7</v>
      </c>
      <c r="B58" s="36">
        <f t="shared" si="23"/>
        <v>0</v>
      </c>
      <c r="C58" s="36">
        <f t="shared" si="23"/>
        <v>300</v>
      </c>
      <c r="D58" s="36">
        <f t="shared" si="23"/>
        <v>300</v>
      </c>
      <c r="E58" s="36">
        <f t="shared" si="23"/>
        <v>300</v>
      </c>
      <c r="F58" s="36">
        <f t="shared" si="23"/>
        <v>300</v>
      </c>
      <c r="G58" s="36">
        <f t="shared" si="23"/>
        <v>300</v>
      </c>
      <c r="H58" s="36">
        <f t="shared" si="23"/>
        <v>300</v>
      </c>
      <c r="I58" s="36">
        <f t="shared" si="23"/>
        <v>300</v>
      </c>
      <c r="J58" s="36">
        <f t="shared" si="23"/>
        <v>300</v>
      </c>
      <c r="K58" s="36">
        <f t="shared" si="23"/>
        <v>300</v>
      </c>
      <c r="L58" s="36">
        <f t="shared" si="29"/>
        <v>300</v>
      </c>
      <c r="M58" s="36">
        <f t="shared" si="30"/>
        <v>300</v>
      </c>
      <c r="N58" s="36">
        <f t="shared" si="31"/>
        <v>300</v>
      </c>
      <c r="O58" s="36">
        <f t="shared" si="32"/>
        <v>300</v>
      </c>
      <c r="P58" s="36">
        <f t="shared" si="32"/>
        <v>300</v>
      </c>
      <c r="Q58" s="36">
        <f t="shared" si="32"/>
        <v>300</v>
      </c>
      <c r="R58" s="6"/>
      <c r="S58" s="6"/>
      <c r="T58" s="6"/>
      <c r="U58" s="6"/>
      <c r="V58" s="6"/>
    </row>
    <row r="59" spans="1:22" ht="15" customHeight="1" x14ac:dyDescent="0.25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5" customHeight="1" x14ac:dyDescent="0.25">
      <c r="A60" s="15" t="s">
        <v>83</v>
      </c>
      <c r="B60" s="14">
        <f>SUM(B57:B59)</f>
        <v>45000</v>
      </c>
      <c r="C60" s="14">
        <f t="shared" ref="C60:K60" si="33">SUM(C57:C59)</f>
        <v>300</v>
      </c>
      <c r="D60" s="14">
        <f t="shared" si="33"/>
        <v>300</v>
      </c>
      <c r="E60" s="14">
        <f t="shared" si="33"/>
        <v>300</v>
      </c>
      <c r="F60" s="14">
        <f t="shared" si="33"/>
        <v>300</v>
      </c>
      <c r="G60" s="14">
        <f t="shared" si="33"/>
        <v>300</v>
      </c>
      <c r="H60" s="14">
        <f t="shared" si="33"/>
        <v>300</v>
      </c>
      <c r="I60" s="14">
        <f t="shared" si="33"/>
        <v>300</v>
      </c>
      <c r="J60" s="14">
        <f t="shared" si="33"/>
        <v>300</v>
      </c>
      <c r="K60" s="14">
        <f t="shared" si="33"/>
        <v>300</v>
      </c>
      <c r="L60" s="14">
        <f t="shared" ref="L60:O60" si="34">SUM(L57:L59)</f>
        <v>300</v>
      </c>
      <c r="M60" s="14">
        <f t="shared" si="34"/>
        <v>300</v>
      </c>
      <c r="N60" s="14">
        <f t="shared" si="34"/>
        <v>300</v>
      </c>
      <c r="O60" s="14">
        <f t="shared" si="34"/>
        <v>300</v>
      </c>
      <c r="P60" s="14">
        <f t="shared" ref="P60:Q60" si="35">SUM(P57:P59)</f>
        <v>300</v>
      </c>
      <c r="Q60" s="14">
        <f t="shared" si="35"/>
        <v>300</v>
      </c>
      <c r="R60" s="6"/>
      <c r="S60" s="6"/>
      <c r="T60" s="6"/>
      <c r="U60" s="6"/>
      <c r="V60" s="6"/>
    </row>
    <row r="61" spans="1:22" ht="15" customHeight="1" x14ac:dyDescent="0.25">
      <c r="A61" s="6" t="s">
        <v>84</v>
      </c>
      <c r="B61" s="31">
        <f>B60</f>
        <v>45000</v>
      </c>
      <c r="C61" s="31">
        <f>B61+C60</f>
        <v>45300</v>
      </c>
      <c r="D61" s="31">
        <f t="shared" ref="D61:K61" si="36">C61+D60</f>
        <v>45600</v>
      </c>
      <c r="E61" s="31">
        <f t="shared" si="36"/>
        <v>45900</v>
      </c>
      <c r="F61" s="31">
        <f t="shared" si="36"/>
        <v>46200</v>
      </c>
      <c r="G61" s="31">
        <f t="shared" si="36"/>
        <v>46500</v>
      </c>
      <c r="H61" s="31">
        <f t="shared" si="36"/>
        <v>46800</v>
      </c>
      <c r="I61" s="31">
        <f t="shared" si="36"/>
        <v>47100</v>
      </c>
      <c r="J61" s="31">
        <f t="shared" si="36"/>
        <v>47400</v>
      </c>
      <c r="K61" s="31">
        <f t="shared" si="36"/>
        <v>47700</v>
      </c>
      <c r="L61" s="31">
        <f t="shared" ref="L61" si="37">K61+L60</f>
        <v>48000</v>
      </c>
      <c r="M61" s="31">
        <f t="shared" ref="M61" si="38">L61+M60</f>
        <v>48300</v>
      </c>
      <c r="N61" s="31">
        <f t="shared" ref="N61" si="39">M61+N60</f>
        <v>48600</v>
      </c>
      <c r="O61" s="31">
        <f t="shared" ref="O61:Q61" si="40">N61+O60</f>
        <v>48900</v>
      </c>
      <c r="P61" s="31">
        <f t="shared" si="40"/>
        <v>49200</v>
      </c>
      <c r="Q61" s="31">
        <f t="shared" si="40"/>
        <v>49500</v>
      </c>
      <c r="R61" s="6"/>
      <c r="S61" s="6"/>
      <c r="T61" s="6"/>
      <c r="U61" s="6"/>
      <c r="V61" s="6"/>
    </row>
    <row r="62" spans="1:22" ht="15" customHeight="1" x14ac:dyDescent="0.25"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5" customHeight="1" x14ac:dyDescent="0.25"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5" customHeight="1" x14ac:dyDescent="0.25">
      <c r="A64" s="30" t="s">
        <v>70</v>
      </c>
      <c r="B64" s="10" t="s">
        <v>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6"/>
      <c r="S64" s="6"/>
      <c r="T64" s="6"/>
      <c r="U64" s="6"/>
      <c r="V64" s="6"/>
    </row>
    <row r="65" spans="1:17" ht="15" customHeight="1" x14ac:dyDescent="0.25">
      <c r="B65" s="11">
        <v>0</v>
      </c>
      <c r="C65" s="11">
        <f>B65+1</f>
        <v>1</v>
      </c>
      <c r="D65" s="11">
        <f t="shared" ref="D65:K65" si="41">C65+1</f>
        <v>2</v>
      </c>
      <c r="E65" s="11">
        <f t="shared" si="41"/>
        <v>3</v>
      </c>
      <c r="F65" s="11">
        <f t="shared" si="41"/>
        <v>4</v>
      </c>
      <c r="G65" s="11">
        <f t="shared" si="41"/>
        <v>5</v>
      </c>
      <c r="H65" s="11">
        <f t="shared" si="41"/>
        <v>6</v>
      </c>
      <c r="I65" s="11">
        <f t="shared" si="41"/>
        <v>7</v>
      </c>
      <c r="J65" s="11">
        <f t="shared" si="41"/>
        <v>8</v>
      </c>
      <c r="K65" s="11">
        <f t="shared" si="41"/>
        <v>9</v>
      </c>
      <c r="L65" s="11">
        <f t="shared" ref="L65" si="42">K65+1</f>
        <v>10</v>
      </c>
      <c r="M65" s="11">
        <f t="shared" ref="M65" si="43">L65+1</f>
        <v>11</v>
      </c>
      <c r="N65" s="11">
        <f t="shared" ref="N65" si="44">M65+1</f>
        <v>12</v>
      </c>
      <c r="O65" s="11">
        <f t="shared" ref="O65:Q65" si="45">N65+1</f>
        <v>13</v>
      </c>
      <c r="P65" s="11">
        <f t="shared" si="45"/>
        <v>14</v>
      </c>
      <c r="Q65" s="11">
        <f t="shared" si="45"/>
        <v>15</v>
      </c>
    </row>
    <row r="66" spans="1:17" ht="15" customHeight="1" x14ac:dyDescent="0.25">
      <c r="A66" s="6" t="s">
        <v>42</v>
      </c>
      <c r="B66" s="36">
        <f t="shared" ref="B66:K67" si="46">I33</f>
        <v>4000</v>
      </c>
      <c r="C66" s="36">
        <f t="shared" si="46"/>
        <v>0</v>
      </c>
      <c r="D66" s="36">
        <f t="shared" ref="D66:K66" si="47">K33</f>
        <v>0</v>
      </c>
      <c r="E66" s="36">
        <f t="shared" si="47"/>
        <v>0</v>
      </c>
      <c r="F66" s="36">
        <f t="shared" si="47"/>
        <v>0</v>
      </c>
      <c r="G66" s="36">
        <f t="shared" si="47"/>
        <v>4000</v>
      </c>
      <c r="H66" s="36">
        <f t="shared" si="47"/>
        <v>0</v>
      </c>
      <c r="I66" s="36">
        <f t="shared" si="47"/>
        <v>0</v>
      </c>
      <c r="J66" s="36">
        <f t="shared" si="47"/>
        <v>0</v>
      </c>
      <c r="K66" s="36">
        <f t="shared" si="47"/>
        <v>0</v>
      </c>
      <c r="L66" s="36">
        <f t="shared" ref="L66:L67" si="48">S33</f>
        <v>4000</v>
      </c>
      <c r="M66" s="36">
        <f t="shared" ref="M66:M67" si="49">T33</f>
        <v>0</v>
      </c>
      <c r="N66" s="36">
        <f t="shared" ref="N66:N67" si="50">U33</f>
        <v>0</v>
      </c>
      <c r="O66" s="36">
        <f t="shared" ref="O66:Q67" si="51">V33</f>
        <v>0</v>
      </c>
      <c r="P66" s="36">
        <f t="shared" si="51"/>
        <v>0</v>
      </c>
      <c r="Q66" s="36">
        <f t="shared" si="51"/>
        <v>4000</v>
      </c>
    </row>
    <row r="67" spans="1:17" ht="15" customHeight="1" x14ac:dyDescent="0.25">
      <c r="A67" s="15" t="s">
        <v>7</v>
      </c>
      <c r="B67" s="36">
        <f t="shared" si="46"/>
        <v>0</v>
      </c>
      <c r="C67" s="36">
        <f t="shared" si="46"/>
        <v>720</v>
      </c>
      <c r="D67" s="36">
        <f t="shared" si="46"/>
        <v>720</v>
      </c>
      <c r="E67" s="36">
        <f t="shared" si="46"/>
        <v>720</v>
      </c>
      <c r="F67" s="36">
        <f t="shared" si="46"/>
        <v>720</v>
      </c>
      <c r="G67" s="36">
        <f t="shared" si="46"/>
        <v>720</v>
      </c>
      <c r="H67" s="36">
        <f t="shared" si="46"/>
        <v>720</v>
      </c>
      <c r="I67" s="36">
        <f t="shared" si="46"/>
        <v>720</v>
      </c>
      <c r="J67" s="36">
        <f t="shared" si="46"/>
        <v>720</v>
      </c>
      <c r="K67" s="36">
        <f t="shared" si="46"/>
        <v>720</v>
      </c>
      <c r="L67" s="36">
        <f t="shared" si="48"/>
        <v>720</v>
      </c>
      <c r="M67" s="36">
        <f t="shared" si="49"/>
        <v>720</v>
      </c>
      <c r="N67" s="36">
        <f t="shared" si="50"/>
        <v>720</v>
      </c>
      <c r="O67" s="36">
        <f t="shared" si="51"/>
        <v>720</v>
      </c>
      <c r="P67" s="36">
        <f t="shared" si="51"/>
        <v>720</v>
      </c>
      <c r="Q67" s="36">
        <f t="shared" si="51"/>
        <v>720</v>
      </c>
    </row>
    <row r="68" spans="1:17" ht="15" customHeight="1" x14ac:dyDescent="0.25">
      <c r="A68" s="6" t="s">
        <v>60</v>
      </c>
      <c r="B68" s="36">
        <f t="shared" ref="B68:K68" si="52">I38</f>
        <v>7829.25</v>
      </c>
      <c r="C68" s="36">
        <f t="shared" si="52"/>
        <v>7829.25</v>
      </c>
      <c r="D68" s="36">
        <f t="shared" si="52"/>
        <v>7829.25</v>
      </c>
      <c r="E68" s="36">
        <f t="shared" si="52"/>
        <v>7829.25</v>
      </c>
      <c r="F68" s="36">
        <f t="shared" si="52"/>
        <v>7829.25</v>
      </c>
      <c r="G68" s="36">
        <f t="shared" si="52"/>
        <v>7829.25</v>
      </c>
      <c r="H68" s="36">
        <f t="shared" si="52"/>
        <v>7829.25</v>
      </c>
      <c r="I68" s="36">
        <f t="shared" si="52"/>
        <v>7829.25</v>
      </c>
      <c r="J68" s="36">
        <f t="shared" si="52"/>
        <v>7829.25</v>
      </c>
      <c r="K68" s="36">
        <f t="shared" si="52"/>
        <v>7829.25</v>
      </c>
      <c r="L68" s="36">
        <f t="shared" ref="L68" si="53">S38</f>
        <v>7829.25</v>
      </c>
      <c r="M68" s="36">
        <f t="shared" ref="M68" si="54">T38</f>
        <v>7829.25</v>
      </c>
      <c r="N68" s="36">
        <f t="shared" ref="N68" si="55">U38</f>
        <v>7829.25</v>
      </c>
      <c r="O68" s="36">
        <f t="shared" ref="O68:Q68" si="56">V38</f>
        <v>7829.25</v>
      </c>
      <c r="P68" s="36">
        <f t="shared" si="56"/>
        <v>7829.25</v>
      </c>
      <c r="Q68" s="36">
        <f t="shared" si="56"/>
        <v>7829.25</v>
      </c>
    </row>
    <row r="70" spans="1:17" ht="15" customHeight="1" x14ac:dyDescent="0.25">
      <c r="A70" s="15" t="s">
        <v>81</v>
      </c>
      <c r="B70" s="14">
        <f>SUM(B66:B69)</f>
        <v>11829.25</v>
      </c>
      <c r="C70" s="14">
        <f t="shared" ref="C70:K70" si="57">SUM(C66:C69)</f>
        <v>8549.25</v>
      </c>
      <c r="D70" s="14">
        <f t="shared" si="57"/>
        <v>8549.25</v>
      </c>
      <c r="E70" s="14">
        <f t="shared" si="57"/>
        <v>8549.25</v>
      </c>
      <c r="F70" s="14">
        <f t="shared" si="57"/>
        <v>8549.25</v>
      </c>
      <c r="G70" s="14">
        <f t="shared" si="57"/>
        <v>12549.25</v>
      </c>
      <c r="H70" s="14">
        <f t="shared" si="57"/>
        <v>8549.25</v>
      </c>
      <c r="I70" s="14">
        <f t="shared" si="57"/>
        <v>8549.25</v>
      </c>
      <c r="J70" s="14">
        <f t="shared" si="57"/>
        <v>8549.25</v>
      </c>
      <c r="K70" s="14">
        <f t="shared" si="57"/>
        <v>8549.25</v>
      </c>
      <c r="L70" s="14">
        <f t="shared" ref="L70:O70" si="58">SUM(L66:L69)</f>
        <v>12549.25</v>
      </c>
      <c r="M70" s="14">
        <f t="shared" si="58"/>
        <v>8549.25</v>
      </c>
      <c r="N70" s="14">
        <f t="shared" si="58"/>
        <v>8549.25</v>
      </c>
      <c r="O70" s="14">
        <f t="shared" si="58"/>
        <v>8549.25</v>
      </c>
      <c r="P70" s="14">
        <f t="shared" ref="P70:Q70" si="59">SUM(P66:P69)</f>
        <v>8549.25</v>
      </c>
      <c r="Q70" s="14">
        <f t="shared" si="59"/>
        <v>12549.25</v>
      </c>
    </row>
    <row r="71" spans="1:17" ht="15" customHeight="1" x14ac:dyDescent="0.25">
      <c r="A71" s="6" t="s">
        <v>82</v>
      </c>
      <c r="B71" s="31">
        <f>B70</f>
        <v>11829.25</v>
      </c>
      <c r="C71" s="31">
        <f t="shared" ref="C71:K71" si="60">B71+C70</f>
        <v>20378.5</v>
      </c>
      <c r="D71" s="31">
        <f t="shared" si="60"/>
        <v>28927.75</v>
      </c>
      <c r="E71" s="31">
        <f t="shared" si="60"/>
        <v>37477</v>
      </c>
      <c r="F71" s="31">
        <f t="shared" si="60"/>
        <v>46026.25</v>
      </c>
      <c r="G71" s="31">
        <f t="shared" si="60"/>
        <v>58575.5</v>
      </c>
      <c r="H71" s="31">
        <f t="shared" si="60"/>
        <v>67124.75</v>
      </c>
      <c r="I71" s="31">
        <f t="shared" si="60"/>
        <v>75674</v>
      </c>
      <c r="J71" s="31">
        <f t="shared" si="60"/>
        <v>84223.25</v>
      </c>
      <c r="K71" s="31">
        <f t="shared" si="60"/>
        <v>92772.5</v>
      </c>
      <c r="L71" s="31">
        <f t="shared" ref="L71" si="61">K71+L70</f>
        <v>105321.75</v>
      </c>
      <c r="M71" s="31">
        <f t="shared" ref="M71" si="62">L71+M70</f>
        <v>113871</v>
      </c>
      <c r="N71" s="31">
        <f t="shared" ref="N71" si="63">M71+N70</f>
        <v>122420.25</v>
      </c>
      <c r="O71" s="31">
        <f t="shared" ref="O71:Q71" si="64">N71+O70</f>
        <v>130969.5</v>
      </c>
      <c r="P71" s="31">
        <f t="shared" si="64"/>
        <v>139518.75</v>
      </c>
      <c r="Q71" s="31">
        <f t="shared" si="64"/>
        <v>152068</v>
      </c>
    </row>
    <row r="73" spans="1:17" ht="15" customHeight="1" x14ac:dyDescent="0.25"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5" customHeight="1" x14ac:dyDescent="0.25">
      <c r="A74" s="6" t="s">
        <v>77</v>
      </c>
      <c r="C74" s="19"/>
    </row>
    <row r="82" spans="1:22" ht="15" customHeight="1" x14ac:dyDescent="0.25"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5" customHeight="1" x14ac:dyDescent="0.25"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5" customHeight="1" x14ac:dyDescent="0.25"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5" customHeight="1" x14ac:dyDescent="0.25"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5" customHeight="1" x14ac:dyDescent="0.25"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5" customHeight="1" x14ac:dyDescent="0.25"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5" customHeight="1" x14ac:dyDescent="0.25"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5" customHeight="1" x14ac:dyDescent="0.25"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s="23" customFormat="1" ht="15" customHeight="1" x14ac:dyDescent="0.25">
      <c r="A90" s="23" t="s">
        <v>74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2" spans="1:22" ht="15" customHeight="1" x14ac:dyDescent="0.25">
      <c r="B92" s="10" t="s">
        <v>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22" ht="15" customHeight="1" x14ac:dyDescent="0.25">
      <c r="A93" s="8" t="s">
        <v>71</v>
      </c>
      <c r="B93" s="11">
        <v>0</v>
      </c>
      <c r="C93" s="11">
        <f>B93+1</f>
        <v>1</v>
      </c>
      <c r="D93" s="11">
        <f t="shared" ref="D93:K93" si="65">C93+1</f>
        <v>2</v>
      </c>
      <c r="E93" s="11">
        <f t="shared" si="65"/>
        <v>3</v>
      </c>
      <c r="F93" s="11">
        <f t="shared" si="65"/>
        <v>4</v>
      </c>
      <c r="G93" s="11">
        <f t="shared" si="65"/>
        <v>5</v>
      </c>
      <c r="H93" s="11">
        <f t="shared" si="65"/>
        <v>6</v>
      </c>
      <c r="I93" s="11">
        <f t="shared" si="65"/>
        <v>7</v>
      </c>
      <c r="J93" s="11">
        <f t="shared" si="65"/>
        <v>8</v>
      </c>
      <c r="K93" s="11">
        <f t="shared" si="65"/>
        <v>9</v>
      </c>
      <c r="L93" s="11">
        <f t="shared" ref="L93" si="66">K93+1</f>
        <v>10</v>
      </c>
      <c r="M93" s="11">
        <f t="shared" ref="M93" si="67">L93+1</f>
        <v>11</v>
      </c>
      <c r="N93" s="11">
        <f t="shared" ref="N93" si="68">M93+1</f>
        <v>12</v>
      </c>
      <c r="O93" s="11">
        <f t="shared" ref="O93" si="69">N93+1</f>
        <v>13</v>
      </c>
      <c r="P93" s="11">
        <f t="shared" ref="P93" si="70">O93+1</f>
        <v>14</v>
      </c>
    </row>
    <row r="94" spans="1:22" ht="15" customHeight="1" x14ac:dyDescent="0.25">
      <c r="A94" s="6" t="s">
        <v>37</v>
      </c>
      <c r="B94" s="12">
        <f t="shared" ref="B94:K94" si="71">B60</f>
        <v>45000</v>
      </c>
      <c r="C94" s="12">
        <f t="shared" si="71"/>
        <v>300</v>
      </c>
      <c r="D94" s="12">
        <f t="shared" si="71"/>
        <v>300</v>
      </c>
      <c r="E94" s="12">
        <f t="shared" si="71"/>
        <v>300</v>
      </c>
      <c r="F94" s="12">
        <f t="shared" si="71"/>
        <v>300</v>
      </c>
      <c r="G94" s="12">
        <f t="shared" si="71"/>
        <v>300</v>
      </c>
      <c r="H94" s="12">
        <f t="shared" si="71"/>
        <v>300</v>
      </c>
      <c r="I94" s="12">
        <f t="shared" si="71"/>
        <v>300</v>
      </c>
      <c r="J94" s="12">
        <f t="shared" si="71"/>
        <v>300</v>
      </c>
      <c r="K94" s="12">
        <f t="shared" si="71"/>
        <v>300</v>
      </c>
      <c r="L94" s="12">
        <f t="shared" ref="L94:P94" si="72">L60</f>
        <v>300</v>
      </c>
      <c r="M94" s="12">
        <f t="shared" si="72"/>
        <v>300</v>
      </c>
      <c r="N94" s="12">
        <f t="shared" si="72"/>
        <v>300</v>
      </c>
      <c r="O94" s="12">
        <f t="shared" si="72"/>
        <v>300</v>
      </c>
      <c r="P94" s="12">
        <f t="shared" si="72"/>
        <v>300</v>
      </c>
    </row>
    <row r="95" spans="1:22" ht="15" customHeight="1" x14ac:dyDescent="0.25">
      <c r="A95" s="6" t="s">
        <v>72</v>
      </c>
      <c r="B95" s="12">
        <f t="shared" ref="B95:K95" si="73">B70</f>
        <v>11829.25</v>
      </c>
      <c r="C95" s="12">
        <f t="shared" si="73"/>
        <v>8549.25</v>
      </c>
      <c r="D95" s="12">
        <f t="shared" si="73"/>
        <v>8549.25</v>
      </c>
      <c r="E95" s="12">
        <f t="shared" si="73"/>
        <v>8549.25</v>
      </c>
      <c r="F95" s="12">
        <f t="shared" si="73"/>
        <v>8549.25</v>
      </c>
      <c r="G95" s="12">
        <f t="shared" si="73"/>
        <v>12549.25</v>
      </c>
      <c r="H95" s="12">
        <f t="shared" si="73"/>
        <v>8549.25</v>
      </c>
      <c r="I95" s="12">
        <f t="shared" si="73"/>
        <v>8549.25</v>
      </c>
      <c r="J95" s="12">
        <f t="shared" si="73"/>
        <v>8549.25</v>
      </c>
      <c r="K95" s="12">
        <f t="shared" si="73"/>
        <v>8549.25</v>
      </c>
      <c r="L95" s="12">
        <f t="shared" ref="L95:P95" si="74">L70</f>
        <v>12549.25</v>
      </c>
      <c r="M95" s="12">
        <f t="shared" si="74"/>
        <v>8549.25</v>
      </c>
      <c r="N95" s="12">
        <f t="shared" si="74"/>
        <v>8549.25</v>
      </c>
      <c r="O95" s="12">
        <f t="shared" si="74"/>
        <v>8549.25</v>
      </c>
      <c r="P95" s="12">
        <f t="shared" si="74"/>
        <v>8549.25</v>
      </c>
    </row>
    <row r="96" spans="1:22" ht="15" customHeight="1" x14ac:dyDescent="0.25">
      <c r="A96" s="6" t="s">
        <v>73</v>
      </c>
      <c r="B96" s="14">
        <f>B95-B94</f>
        <v>-33170.75</v>
      </c>
      <c r="C96" s="14">
        <f t="shared" ref="C96:K96" si="75">C95-C94</f>
        <v>8249.25</v>
      </c>
      <c r="D96" s="14">
        <f t="shared" si="75"/>
        <v>8249.25</v>
      </c>
      <c r="E96" s="14">
        <f t="shared" si="75"/>
        <v>8249.25</v>
      </c>
      <c r="F96" s="14">
        <f t="shared" si="75"/>
        <v>8249.25</v>
      </c>
      <c r="G96" s="14">
        <f t="shared" si="75"/>
        <v>12249.25</v>
      </c>
      <c r="H96" s="14">
        <f t="shared" si="75"/>
        <v>8249.25</v>
      </c>
      <c r="I96" s="14">
        <f t="shared" si="75"/>
        <v>8249.25</v>
      </c>
      <c r="J96" s="14">
        <f t="shared" si="75"/>
        <v>8249.25</v>
      </c>
      <c r="K96" s="14">
        <f t="shared" si="75"/>
        <v>8249.25</v>
      </c>
      <c r="L96" s="14">
        <f t="shared" ref="L96:P96" si="76">L95-L94</f>
        <v>12249.25</v>
      </c>
      <c r="M96" s="14">
        <f t="shared" si="76"/>
        <v>8249.25</v>
      </c>
      <c r="N96" s="14">
        <f t="shared" si="76"/>
        <v>8249.25</v>
      </c>
      <c r="O96" s="14">
        <f t="shared" si="76"/>
        <v>8249.25</v>
      </c>
      <c r="P96" s="14">
        <f t="shared" si="76"/>
        <v>8249.25</v>
      </c>
    </row>
    <row r="98" spans="1:4" ht="15" customHeight="1" x14ac:dyDescent="0.25">
      <c r="A98" s="8" t="s">
        <v>75</v>
      </c>
      <c r="B98" s="33">
        <f>IRR(B96:P96)</f>
        <v>0.25097458398840455</v>
      </c>
    </row>
    <row r="99" spans="1:4" ht="15" customHeight="1" x14ac:dyDescent="0.25">
      <c r="D99" s="34"/>
    </row>
  </sheetData>
  <mergeCells count="3">
    <mergeCell ref="C4:D4"/>
    <mergeCell ref="C31:D31"/>
    <mergeCell ref="C36:D3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0C47-9F47-4F6A-A0B2-F1A9FC36A5B8}">
  <dimension ref="A1:Z114"/>
  <sheetViews>
    <sheetView zoomScale="160" zoomScaleNormal="160" workbookViewId="0">
      <pane xSplit="2" topLeftCell="E1" activePane="topRight" state="frozen"/>
      <selection pane="topRight" activeCell="J59" sqref="J59"/>
    </sheetView>
  </sheetViews>
  <sheetFormatPr baseColWidth="10" defaultColWidth="10.5703125" defaultRowHeight="15" x14ac:dyDescent="0.25"/>
  <cols>
    <col min="1" max="1" width="30" style="6" customWidth="1"/>
    <col min="2" max="2" width="10.85546875" style="6" customWidth="1"/>
    <col min="3" max="8" width="11.42578125" style="6" customWidth="1"/>
    <col min="9" max="9" width="11.42578125" style="44" customWidth="1"/>
    <col min="10" max="25" width="11.42578125" style="6" customWidth="1"/>
    <col min="26" max="16384" width="10.5703125" style="6"/>
  </cols>
  <sheetData>
    <row r="1" spans="1:25" s="39" customFormat="1" ht="21" customHeight="1" x14ac:dyDescent="0.25">
      <c r="A1" s="23" t="s">
        <v>41</v>
      </c>
    </row>
    <row r="2" spans="1:25" x14ac:dyDescent="0.25">
      <c r="I2" s="6"/>
    </row>
    <row r="3" spans="1:25" ht="15" customHeight="1" x14ac:dyDescent="0.25">
      <c r="A3" s="6" t="s">
        <v>28</v>
      </c>
      <c r="B3" s="6" t="s">
        <v>29</v>
      </c>
      <c r="C3" s="10">
        <v>15</v>
      </c>
      <c r="D3" s="40" t="s">
        <v>35</v>
      </c>
      <c r="I3" s="6"/>
    </row>
    <row r="4" spans="1:25" x14ac:dyDescent="0.25">
      <c r="A4" s="6" t="s">
        <v>86</v>
      </c>
      <c r="B4" s="6" t="s">
        <v>11</v>
      </c>
      <c r="C4" s="1">
        <v>0.1</v>
      </c>
      <c r="I4" s="6"/>
    </row>
    <row r="5" spans="1:25" x14ac:dyDescent="0.25">
      <c r="I5" s="6"/>
    </row>
    <row r="6" spans="1:25" s="39" customFormat="1" ht="21" customHeight="1" x14ac:dyDescent="0.25">
      <c r="A6" s="23" t="s">
        <v>94</v>
      </c>
    </row>
    <row r="7" spans="1:25" x14ac:dyDescent="0.25">
      <c r="I7" s="6"/>
    </row>
    <row r="8" spans="1:25" x14ac:dyDescent="0.25">
      <c r="I8" s="6"/>
    </row>
    <row r="9" spans="1:25" x14ac:dyDescent="0.25">
      <c r="B9" s="68" t="s">
        <v>3</v>
      </c>
      <c r="C9" s="68" t="s">
        <v>4</v>
      </c>
      <c r="D9" s="68" t="s">
        <v>13</v>
      </c>
      <c r="E9" s="109" t="s">
        <v>5</v>
      </c>
      <c r="F9" s="110"/>
      <c r="G9" s="68" t="s">
        <v>40</v>
      </c>
      <c r="I9" s="83" t="s">
        <v>93</v>
      </c>
      <c r="J9" s="88" t="s">
        <v>8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</row>
    <row r="10" spans="1:25" x14ac:dyDescent="0.25">
      <c r="B10" s="11" t="s">
        <v>14</v>
      </c>
      <c r="C10" s="11" t="s">
        <v>15</v>
      </c>
      <c r="D10" s="11" t="s">
        <v>16</v>
      </c>
      <c r="E10" s="11" t="s">
        <v>12</v>
      </c>
      <c r="F10" s="11" t="s">
        <v>96</v>
      </c>
      <c r="G10" s="11" t="s">
        <v>29</v>
      </c>
      <c r="I10" s="43" t="s">
        <v>16</v>
      </c>
      <c r="J10" s="42">
        <v>0</v>
      </c>
      <c r="K10" s="42">
        <f>J10+1</f>
        <v>1</v>
      </c>
      <c r="L10" s="42">
        <f t="shared" ref="L10:Y10" si="0">K10+1</f>
        <v>2</v>
      </c>
      <c r="M10" s="42">
        <f t="shared" si="0"/>
        <v>3</v>
      </c>
      <c r="N10" s="42">
        <f t="shared" si="0"/>
        <v>4</v>
      </c>
      <c r="O10" s="42">
        <f t="shared" si="0"/>
        <v>5</v>
      </c>
      <c r="P10" s="42">
        <f t="shared" si="0"/>
        <v>6</v>
      </c>
      <c r="Q10" s="42">
        <f t="shared" si="0"/>
        <v>7</v>
      </c>
      <c r="R10" s="42">
        <f t="shared" si="0"/>
        <v>8</v>
      </c>
      <c r="S10" s="42">
        <f t="shared" si="0"/>
        <v>9</v>
      </c>
      <c r="T10" s="42">
        <f t="shared" si="0"/>
        <v>10</v>
      </c>
      <c r="U10" s="42">
        <f t="shared" si="0"/>
        <v>11</v>
      </c>
      <c r="V10" s="42">
        <f t="shared" si="0"/>
        <v>12</v>
      </c>
      <c r="W10" s="42">
        <f t="shared" si="0"/>
        <v>13</v>
      </c>
      <c r="X10" s="42">
        <f t="shared" si="0"/>
        <v>14</v>
      </c>
      <c r="Y10" s="42">
        <f t="shared" si="0"/>
        <v>15</v>
      </c>
    </row>
    <row r="11" spans="1:25" x14ac:dyDescent="0.25">
      <c r="A11" s="8" t="s">
        <v>98</v>
      </c>
      <c r="B11" s="44"/>
      <c r="C11" s="7"/>
      <c r="D11" s="7"/>
      <c r="E11" s="7"/>
      <c r="F11" s="7"/>
      <c r="G11" s="7"/>
    </row>
    <row r="12" spans="1:25" x14ac:dyDescent="0.25">
      <c r="A12" s="8"/>
      <c r="B12" s="44"/>
      <c r="C12" s="7"/>
      <c r="D12" s="7"/>
      <c r="E12" s="7"/>
      <c r="F12" s="7"/>
      <c r="G12" s="7"/>
    </row>
    <row r="13" spans="1:25" x14ac:dyDescent="0.25">
      <c r="A13" s="28" t="s">
        <v>38</v>
      </c>
      <c r="B13" s="44" t="s">
        <v>39</v>
      </c>
      <c r="C13" s="45">
        <v>525</v>
      </c>
      <c r="D13" s="45">
        <v>5</v>
      </c>
      <c r="E13" s="7">
        <f>C13*D13</f>
        <v>2625</v>
      </c>
      <c r="F13" s="54">
        <f>E13/E$19</f>
        <v>0.16005121638924455</v>
      </c>
      <c r="G13" s="45">
        <v>16</v>
      </c>
      <c r="I13" s="57">
        <f>NPV($C$4,K13:Y13)+J13</f>
        <v>2625</v>
      </c>
      <c r="J13" s="6">
        <f t="shared" ref="J13:J18" si="1">E13</f>
        <v>2625</v>
      </c>
      <c r="K13" s="6">
        <f t="shared" ref="K13:Y16" si="2">IF(ROUND(K$10/$G13,0)=K$10/$G13,1,0)*$J13</f>
        <v>0</v>
      </c>
      <c r="L13" s="6">
        <f t="shared" si="2"/>
        <v>0</v>
      </c>
      <c r="M13" s="6">
        <f t="shared" si="2"/>
        <v>0</v>
      </c>
      <c r="N13" s="6">
        <f t="shared" si="2"/>
        <v>0</v>
      </c>
      <c r="O13" s="6">
        <f t="shared" si="2"/>
        <v>0</v>
      </c>
      <c r="P13" s="6">
        <f t="shared" si="2"/>
        <v>0</v>
      </c>
      <c r="Q13" s="6">
        <f t="shared" si="2"/>
        <v>0</v>
      </c>
      <c r="R13" s="6">
        <f t="shared" si="2"/>
        <v>0</v>
      </c>
      <c r="S13" s="6">
        <f t="shared" si="2"/>
        <v>0</v>
      </c>
      <c r="T13" s="6">
        <f t="shared" si="2"/>
        <v>0</v>
      </c>
      <c r="U13" s="6">
        <f t="shared" si="2"/>
        <v>0</v>
      </c>
      <c r="V13" s="6">
        <f t="shared" si="2"/>
        <v>0</v>
      </c>
      <c r="W13" s="6">
        <f t="shared" si="2"/>
        <v>0</v>
      </c>
      <c r="X13" s="6">
        <f t="shared" si="2"/>
        <v>0</v>
      </c>
      <c r="Y13" s="6">
        <f t="shared" si="2"/>
        <v>0</v>
      </c>
    </row>
    <row r="14" spans="1:25" x14ac:dyDescent="0.25">
      <c r="A14" s="28" t="s">
        <v>0</v>
      </c>
      <c r="B14" s="44" t="s">
        <v>30</v>
      </c>
      <c r="C14" s="45">
        <v>425</v>
      </c>
      <c r="D14" s="45">
        <v>10</v>
      </c>
      <c r="E14" s="7">
        <f>C14*D14</f>
        <v>4250</v>
      </c>
      <c r="F14" s="54">
        <f t="shared" ref="F14:F17" si="3">E14/E$19</f>
        <v>0.25913054082068165</v>
      </c>
      <c r="G14" s="45">
        <v>16</v>
      </c>
      <c r="I14" s="57">
        <f t="shared" ref="I14:I19" si="4">NPV($C$4,K14:Y14)+J14</f>
        <v>4250</v>
      </c>
      <c r="J14" s="6">
        <f>E14</f>
        <v>4250</v>
      </c>
      <c r="K14" s="6">
        <f t="shared" si="2"/>
        <v>0</v>
      </c>
      <c r="L14" s="6">
        <f t="shared" si="2"/>
        <v>0</v>
      </c>
      <c r="M14" s="6">
        <f t="shared" si="2"/>
        <v>0</v>
      </c>
      <c r="N14" s="6">
        <f t="shared" si="2"/>
        <v>0</v>
      </c>
      <c r="O14" s="6">
        <f t="shared" si="2"/>
        <v>0</v>
      </c>
      <c r="P14" s="6">
        <f t="shared" si="2"/>
        <v>0</v>
      </c>
      <c r="Q14" s="6">
        <f t="shared" si="2"/>
        <v>0</v>
      </c>
      <c r="R14" s="6">
        <f t="shared" si="2"/>
        <v>0</v>
      </c>
      <c r="S14" s="6">
        <f t="shared" si="2"/>
        <v>0</v>
      </c>
      <c r="T14" s="6">
        <f t="shared" si="2"/>
        <v>0</v>
      </c>
      <c r="U14" s="6">
        <f t="shared" si="2"/>
        <v>0</v>
      </c>
      <c r="V14" s="6">
        <f t="shared" si="2"/>
        <v>0</v>
      </c>
      <c r="W14" s="6">
        <f t="shared" si="2"/>
        <v>0</v>
      </c>
      <c r="X14" s="6">
        <f t="shared" si="2"/>
        <v>0</v>
      </c>
      <c r="Y14" s="6">
        <f t="shared" si="2"/>
        <v>0</v>
      </c>
    </row>
    <row r="15" spans="1:25" x14ac:dyDescent="0.25">
      <c r="A15" s="28" t="s">
        <v>1</v>
      </c>
      <c r="B15" s="44" t="s">
        <v>17</v>
      </c>
      <c r="C15" s="61">
        <v>0.4</v>
      </c>
      <c r="D15" s="45">
        <v>5500</v>
      </c>
      <c r="E15" s="7">
        <f>C15*D15</f>
        <v>2200</v>
      </c>
      <c r="F15" s="54">
        <f t="shared" si="3"/>
        <v>0.1341381623071764</v>
      </c>
      <c r="G15" s="45">
        <v>25</v>
      </c>
      <c r="I15" s="57">
        <f t="shared" si="4"/>
        <v>2200</v>
      </c>
      <c r="J15" s="6">
        <f>E15</f>
        <v>2200</v>
      </c>
      <c r="K15" s="6">
        <f t="shared" si="2"/>
        <v>0</v>
      </c>
      <c r="L15" s="6">
        <f t="shared" si="2"/>
        <v>0</v>
      </c>
      <c r="M15" s="6">
        <f t="shared" si="2"/>
        <v>0</v>
      </c>
      <c r="N15" s="6">
        <f t="shared" si="2"/>
        <v>0</v>
      </c>
      <c r="O15" s="6">
        <f t="shared" si="2"/>
        <v>0</v>
      </c>
      <c r="P15" s="6">
        <f t="shared" si="2"/>
        <v>0</v>
      </c>
      <c r="Q15" s="6">
        <f t="shared" si="2"/>
        <v>0</v>
      </c>
      <c r="R15" s="6">
        <f t="shared" si="2"/>
        <v>0</v>
      </c>
      <c r="S15" s="6">
        <f t="shared" si="2"/>
        <v>0</v>
      </c>
      <c r="T15" s="6">
        <f t="shared" si="2"/>
        <v>0</v>
      </c>
      <c r="U15" s="6">
        <f t="shared" si="2"/>
        <v>0</v>
      </c>
      <c r="V15" s="6">
        <f t="shared" si="2"/>
        <v>0</v>
      </c>
      <c r="W15" s="6">
        <f t="shared" si="2"/>
        <v>0</v>
      </c>
      <c r="X15" s="6">
        <f t="shared" si="2"/>
        <v>0</v>
      </c>
      <c r="Y15" s="6">
        <f t="shared" si="2"/>
        <v>0</v>
      </c>
    </row>
    <row r="16" spans="1:25" x14ac:dyDescent="0.25">
      <c r="A16" s="28" t="s">
        <v>2</v>
      </c>
      <c r="B16" s="44" t="s">
        <v>17</v>
      </c>
      <c r="C16" s="61">
        <v>0.2</v>
      </c>
      <c r="D16" s="16">
        <f>$D$15</f>
        <v>5500</v>
      </c>
      <c r="E16" s="14">
        <f>C16*D16</f>
        <v>1100</v>
      </c>
      <c r="F16" s="54">
        <f t="shared" si="3"/>
        <v>6.70690811535882E-2</v>
      </c>
      <c r="G16" s="45">
        <v>25</v>
      </c>
      <c r="I16" s="57">
        <f t="shared" si="4"/>
        <v>1100</v>
      </c>
      <c r="J16" s="6">
        <f>E16</f>
        <v>1100</v>
      </c>
      <c r="K16" s="6">
        <f t="shared" si="2"/>
        <v>0</v>
      </c>
      <c r="L16" s="6">
        <f t="shared" si="2"/>
        <v>0</v>
      </c>
      <c r="M16" s="6">
        <f t="shared" si="2"/>
        <v>0</v>
      </c>
      <c r="N16" s="6">
        <f t="shared" si="2"/>
        <v>0</v>
      </c>
      <c r="O16" s="6">
        <f t="shared" si="2"/>
        <v>0</v>
      </c>
      <c r="P16" s="6">
        <f t="shared" si="2"/>
        <v>0</v>
      </c>
      <c r="Q16" s="6">
        <f t="shared" si="2"/>
        <v>0</v>
      </c>
      <c r="R16" s="6">
        <f t="shared" si="2"/>
        <v>0</v>
      </c>
      <c r="S16" s="6">
        <f t="shared" si="2"/>
        <v>0</v>
      </c>
      <c r="T16" s="6">
        <f t="shared" si="2"/>
        <v>0</v>
      </c>
      <c r="U16" s="6">
        <f t="shared" si="2"/>
        <v>0</v>
      </c>
      <c r="V16" s="6">
        <f t="shared" si="2"/>
        <v>0</v>
      </c>
      <c r="W16" s="6">
        <f t="shared" si="2"/>
        <v>0</v>
      </c>
      <c r="X16" s="6">
        <f t="shared" si="2"/>
        <v>0</v>
      </c>
      <c r="Y16" s="6">
        <f t="shared" si="2"/>
        <v>0</v>
      </c>
    </row>
    <row r="17" spans="1:25" x14ac:dyDescent="0.25">
      <c r="A17" s="28" t="s">
        <v>6</v>
      </c>
      <c r="B17" s="44" t="s">
        <v>17</v>
      </c>
      <c r="C17" s="61">
        <v>0.25</v>
      </c>
      <c r="D17" s="16">
        <f>$D$15</f>
        <v>5500</v>
      </c>
      <c r="E17" s="14">
        <f>C17*D17</f>
        <v>1375</v>
      </c>
      <c r="F17" s="54">
        <f t="shared" si="3"/>
        <v>8.3836351441985243E-2</v>
      </c>
      <c r="I17" s="57">
        <f t="shared" si="4"/>
        <v>1375</v>
      </c>
      <c r="J17" s="6">
        <f t="shared" si="1"/>
        <v>1375</v>
      </c>
      <c r="K17" s="6">
        <f>SUM(K13:K16)*$F17</f>
        <v>0</v>
      </c>
      <c r="L17" s="6">
        <f t="shared" ref="L17:Y17" si="5">SUM(L13:L16)*$F17</f>
        <v>0</v>
      </c>
      <c r="M17" s="6">
        <f t="shared" si="5"/>
        <v>0</v>
      </c>
      <c r="N17" s="6">
        <f t="shared" si="5"/>
        <v>0</v>
      </c>
      <c r="O17" s="6">
        <f t="shared" si="5"/>
        <v>0</v>
      </c>
      <c r="P17" s="6">
        <f t="shared" si="5"/>
        <v>0</v>
      </c>
      <c r="Q17" s="6">
        <f t="shared" si="5"/>
        <v>0</v>
      </c>
      <c r="R17" s="6">
        <f t="shared" si="5"/>
        <v>0</v>
      </c>
      <c r="S17" s="6">
        <f t="shared" si="5"/>
        <v>0</v>
      </c>
      <c r="T17" s="6">
        <f t="shared" si="5"/>
        <v>0</v>
      </c>
      <c r="U17" s="6">
        <f t="shared" si="5"/>
        <v>0</v>
      </c>
      <c r="V17" s="6">
        <f t="shared" si="5"/>
        <v>0</v>
      </c>
      <c r="W17" s="6">
        <f t="shared" si="5"/>
        <v>0</v>
      </c>
      <c r="X17" s="6">
        <f t="shared" si="5"/>
        <v>0</v>
      </c>
      <c r="Y17" s="6">
        <f t="shared" si="5"/>
        <v>0</v>
      </c>
    </row>
    <row r="18" spans="1:25" x14ac:dyDescent="0.25">
      <c r="A18" s="28" t="s">
        <v>97</v>
      </c>
      <c r="B18" s="44" t="s">
        <v>17</v>
      </c>
      <c r="C18" s="55">
        <f>E18/D18</f>
        <v>0.88200000000000001</v>
      </c>
      <c r="D18" s="16">
        <f>$D$15</f>
        <v>5500</v>
      </c>
      <c r="E18" s="14">
        <f>SUM(E$13:E17)*F18</f>
        <v>4851</v>
      </c>
      <c r="F18" s="87">
        <v>0.42</v>
      </c>
      <c r="I18" s="57">
        <f t="shared" si="4"/>
        <v>4851</v>
      </c>
      <c r="J18" s="6">
        <f t="shared" si="1"/>
        <v>4851</v>
      </c>
      <c r="K18" s="6">
        <f>SUM(K13:K17)*$F18</f>
        <v>0</v>
      </c>
      <c r="L18" s="6">
        <f t="shared" ref="L18:Y18" si="6">SUM(L13:L17)*$F18</f>
        <v>0</v>
      </c>
      <c r="M18" s="6">
        <f t="shared" si="6"/>
        <v>0</v>
      </c>
      <c r="N18" s="6">
        <f t="shared" si="6"/>
        <v>0</v>
      </c>
      <c r="O18" s="6">
        <f t="shared" si="6"/>
        <v>0</v>
      </c>
      <c r="P18" s="6">
        <f t="shared" si="6"/>
        <v>0</v>
      </c>
      <c r="Q18" s="6">
        <f t="shared" si="6"/>
        <v>0</v>
      </c>
      <c r="R18" s="6">
        <f t="shared" si="6"/>
        <v>0</v>
      </c>
      <c r="S18" s="6">
        <f t="shared" si="6"/>
        <v>0</v>
      </c>
      <c r="T18" s="6">
        <f t="shared" si="6"/>
        <v>0</v>
      </c>
      <c r="U18" s="6">
        <f t="shared" si="6"/>
        <v>0</v>
      </c>
      <c r="V18" s="6">
        <f t="shared" si="6"/>
        <v>0</v>
      </c>
      <c r="W18" s="6">
        <f t="shared" si="6"/>
        <v>0</v>
      </c>
      <c r="X18" s="6">
        <f t="shared" si="6"/>
        <v>0</v>
      </c>
      <c r="Y18" s="6">
        <f t="shared" si="6"/>
        <v>0</v>
      </c>
    </row>
    <row r="19" spans="1:25" x14ac:dyDescent="0.25">
      <c r="A19" s="47" t="s">
        <v>10</v>
      </c>
      <c r="B19" s="44" t="s">
        <v>17</v>
      </c>
      <c r="C19" s="55">
        <f>E19/D19</f>
        <v>2.9820000000000002</v>
      </c>
      <c r="D19" s="16">
        <f>$D$15</f>
        <v>5500</v>
      </c>
      <c r="E19" s="86">
        <f>SUM(E13:E18)</f>
        <v>16401</v>
      </c>
      <c r="F19" s="4">
        <f>E19/SUM(E$13:E18)</f>
        <v>1</v>
      </c>
      <c r="I19" s="48">
        <f t="shared" si="4"/>
        <v>16401</v>
      </c>
      <c r="J19" s="6">
        <f t="shared" ref="J19:X19" si="7">SUM(J13:J18)</f>
        <v>16401</v>
      </c>
      <c r="K19" s="6">
        <f>SUM(K13:K18)*$F19</f>
        <v>0</v>
      </c>
      <c r="L19" s="6">
        <f t="shared" ref="L19:Y19" si="8">SUM(L13:L18)*$F19</f>
        <v>0</v>
      </c>
      <c r="M19" s="6">
        <f t="shared" si="8"/>
        <v>0</v>
      </c>
      <c r="N19" s="6">
        <f t="shared" si="8"/>
        <v>0</v>
      </c>
      <c r="O19" s="6">
        <f t="shared" si="8"/>
        <v>0</v>
      </c>
      <c r="P19" s="6">
        <f t="shared" si="8"/>
        <v>0</v>
      </c>
      <c r="Q19" s="6">
        <f t="shared" si="8"/>
        <v>0</v>
      </c>
      <c r="R19" s="6">
        <f t="shared" si="8"/>
        <v>0</v>
      </c>
      <c r="S19" s="6">
        <f t="shared" si="8"/>
        <v>0</v>
      </c>
      <c r="T19" s="6">
        <f t="shared" si="8"/>
        <v>0</v>
      </c>
      <c r="U19" s="6">
        <f t="shared" si="8"/>
        <v>0</v>
      </c>
      <c r="V19" s="6">
        <f t="shared" si="8"/>
        <v>0</v>
      </c>
      <c r="W19" s="6">
        <f t="shared" si="8"/>
        <v>0</v>
      </c>
      <c r="X19" s="6">
        <f t="shared" si="8"/>
        <v>0</v>
      </c>
      <c r="Y19" s="6">
        <f t="shared" si="8"/>
        <v>0</v>
      </c>
    </row>
    <row r="20" spans="1:25" x14ac:dyDescent="0.25">
      <c r="B20" s="44"/>
      <c r="C20" s="7"/>
      <c r="D20" s="7"/>
      <c r="E20" s="7"/>
      <c r="F20" s="4"/>
      <c r="G20" s="7"/>
    </row>
    <row r="21" spans="1:25" x14ac:dyDescent="0.25">
      <c r="A21" s="6" t="s">
        <v>9</v>
      </c>
      <c r="B21" s="44"/>
      <c r="C21" s="3">
        <f>E18/E19</f>
        <v>0.29577464788732394</v>
      </c>
      <c r="D21" s="7"/>
      <c r="E21" s="7"/>
      <c r="F21" s="4"/>
      <c r="G21" s="7"/>
    </row>
    <row r="22" spans="1:25" x14ac:dyDescent="0.25">
      <c r="B22" s="44"/>
      <c r="C22" s="7"/>
      <c r="D22" s="7"/>
      <c r="E22" s="7"/>
      <c r="F22" s="4"/>
      <c r="G22" s="7"/>
    </row>
    <row r="23" spans="1:25" x14ac:dyDescent="0.25">
      <c r="A23" s="8" t="s">
        <v>99</v>
      </c>
      <c r="B23" s="44" t="s">
        <v>17</v>
      </c>
      <c r="C23" s="63">
        <v>0.02</v>
      </c>
      <c r="D23" s="16">
        <f>D15</f>
        <v>5500</v>
      </c>
      <c r="E23" s="14">
        <f>C23*D23</f>
        <v>110</v>
      </c>
      <c r="F23" s="4">
        <f>E23/E19</f>
        <v>6.7069081153588199E-3</v>
      </c>
      <c r="G23" s="45">
        <v>1</v>
      </c>
      <c r="I23" s="48">
        <f>NPV($C$4,K23:Y23)+K23</f>
        <v>946.66874569391962</v>
      </c>
      <c r="K23" s="6">
        <f>E23</f>
        <v>110</v>
      </c>
      <c r="L23" s="6">
        <f t="shared" ref="L23:Y23" si="9">$K$23</f>
        <v>110</v>
      </c>
      <c r="M23" s="6">
        <f t="shared" si="9"/>
        <v>110</v>
      </c>
      <c r="N23" s="6">
        <f t="shared" si="9"/>
        <v>110</v>
      </c>
      <c r="O23" s="6">
        <f t="shared" si="9"/>
        <v>110</v>
      </c>
      <c r="P23" s="6">
        <f t="shared" si="9"/>
        <v>110</v>
      </c>
      <c r="Q23" s="6">
        <f t="shared" si="9"/>
        <v>110</v>
      </c>
      <c r="R23" s="6">
        <f t="shared" si="9"/>
        <v>110</v>
      </c>
      <c r="S23" s="6">
        <f t="shared" si="9"/>
        <v>110</v>
      </c>
      <c r="T23" s="6">
        <f t="shared" si="9"/>
        <v>110</v>
      </c>
      <c r="U23" s="6">
        <f t="shared" si="9"/>
        <v>110</v>
      </c>
      <c r="V23" s="6">
        <f t="shared" si="9"/>
        <v>110</v>
      </c>
      <c r="W23" s="6">
        <f t="shared" si="9"/>
        <v>110</v>
      </c>
      <c r="X23" s="6">
        <f t="shared" si="9"/>
        <v>110</v>
      </c>
      <c r="Y23" s="6">
        <f t="shared" si="9"/>
        <v>110</v>
      </c>
    </row>
    <row r="25" spans="1:25" x14ac:dyDescent="0.25">
      <c r="A25" s="8" t="s">
        <v>101</v>
      </c>
      <c r="B25" s="44" t="s">
        <v>17</v>
      </c>
      <c r="C25" s="55">
        <f>E25/D25</f>
        <v>3.134121590126167</v>
      </c>
      <c r="D25" s="16">
        <f>$D$15</f>
        <v>5500</v>
      </c>
      <c r="E25" s="86">
        <f>I25</f>
        <v>17237.668745693918</v>
      </c>
      <c r="F25" s="4">
        <f>E25/E19</f>
        <v>1.0510132763669238</v>
      </c>
      <c r="I25" s="48">
        <f>NPV($C$4,K25:Y25)+J25</f>
        <v>17237.668745693918</v>
      </c>
      <c r="J25" s="6">
        <f>J23+J19</f>
        <v>16401</v>
      </c>
      <c r="K25" s="6">
        <f t="shared" ref="K25:Y25" si="10">K23+K19</f>
        <v>110</v>
      </c>
      <c r="L25" s="6">
        <f t="shared" si="10"/>
        <v>110</v>
      </c>
      <c r="M25" s="6">
        <f t="shared" si="10"/>
        <v>110</v>
      </c>
      <c r="N25" s="6">
        <f t="shared" si="10"/>
        <v>110</v>
      </c>
      <c r="O25" s="6">
        <f t="shared" si="10"/>
        <v>110</v>
      </c>
      <c r="P25" s="6">
        <f t="shared" si="10"/>
        <v>110</v>
      </c>
      <c r="Q25" s="6">
        <f t="shared" si="10"/>
        <v>110</v>
      </c>
      <c r="R25" s="6">
        <f t="shared" si="10"/>
        <v>110</v>
      </c>
      <c r="S25" s="6">
        <f t="shared" si="10"/>
        <v>110</v>
      </c>
      <c r="T25" s="6">
        <f t="shared" si="10"/>
        <v>110</v>
      </c>
      <c r="U25" s="6">
        <f t="shared" si="10"/>
        <v>110</v>
      </c>
      <c r="V25" s="6">
        <f t="shared" si="10"/>
        <v>110</v>
      </c>
      <c r="W25" s="6">
        <f t="shared" si="10"/>
        <v>110</v>
      </c>
      <c r="X25" s="6">
        <f t="shared" si="10"/>
        <v>110</v>
      </c>
      <c r="Y25" s="6">
        <f t="shared" si="10"/>
        <v>110</v>
      </c>
    </row>
    <row r="26" spans="1:25" x14ac:dyDescent="0.25">
      <c r="B26" s="44"/>
      <c r="C26" s="7"/>
      <c r="D26" s="7"/>
      <c r="E26" s="7"/>
      <c r="F26" s="4"/>
      <c r="G26" s="7"/>
    </row>
    <row r="27" spans="1:25" x14ac:dyDescent="0.25">
      <c r="A27" s="8" t="s">
        <v>18</v>
      </c>
    </row>
    <row r="28" spans="1:25" x14ac:dyDescent="0.25">
      <c r="A28" s="30"/>
      <c r="C28" s="7"/>
      <c r="E28" s="7"/>
      <c r="F28" s="7"/>
      <c r="I28" s="6"/>
    </row>
    <row r="29" spans="1:25" x14ac:dyDescent="0.25">
      <c r="A29" s="6" t="s">
        <v>19</v>
      </c>
      <c r="B29" s="6" t="s">
        <v>20</v>
      </c>
      <c r="C29" s="56">
        <v>5.5</v>
      </c>
      <c r="I29" s="6"/>
    </row>
    <row r="30" spans="1:25" x14ac:dyDescent="0.25">
      <c r="I30" s="6"/>
    </row>
    <row r="31" spans="1:25" x14ac:dyDescent="0.25">
      <c r="A31" s="44" t="s">
        <v>117</v>
      </c>
      <c r="C31" s="7"/>
      <c r="I31" s="6"/>
    </row>
    <row r="32" spans="1:25" x14ac:dyDescent="0.25">
      <c r="A32" s="49" t="s">
        <v>1</v>
      </c>
      <c r="B32" s="6" t="s">
        <v>11</v>
      </c>
      <c r="C32" s="58">
        <v>0.9</v>
      </c>
      <c r="I32" s="6"/>
    </row>
    <row r="33" spans="1:26" x14ac:dyDescent="0.25">
      <c r="A33" s="49" t="s">
        <v>21</v>
      </c>
      <c r="B33" s="6" t="s">
        <v>11</v>
      </c>
      <c r="C33" s="58">
        <v>0.95</v>
      </c>
      <c r="I33" s="6"/>
    </row>
    <row r="34" spans="1:26" x14ac:dyDescent="0.25">
      <c r="A34" s="49" t="s">
        <v>22</v>
      </c>
      <c r="B34" s="6" t="s">
        <v>11</v>
      </c>
      <c r="C34" s="58">
        <v>0.95</v>
      </c>
      <c r="I34" s="6"/>
    </row>
    <row r="35" spans="1:26" x14ac:dyDescent="0.25">
      <c r="A35" s="49" t="s">
        <v>0</v>
      </c>
      <c r="B35" s="6" t="s">
        <v>11</v>
      </c>
      <c r="C35" s="58">
        <v>0.95</v>
      </c>
      <c r="I35" s="6"/>
    </row>
    <row r="36" spans="1:26" x14ac:dyDescent="0.25">
      <c r="A36" s="50" t="s">
        <v>23</v>
      </c>
      <c r="B36" s="51" t="s">
        <v>11</v>
      </c>
      <c r="C36" s="59">
        <v>0.92</v>
      </c>
      <c r="I36" s="6"/>
    </row>
    <row r="37" spans="1:26" x14ac:dyDescent="0.25">
      <c r="A37" s="52" t="s">
        <v>10</v>
      </c>
      <c r="B37" s="53"/>
      <c r="C37" s="38">
        <f>C32*C33*C34*C35*C36</f>
        <v>0.70990649999999988</v>
      </c>
      <c r="I37" s="6"/>
    </row>
    <row r="38" spans="1:26" x14ac:dyDescent="0.25">
      <c r="C38" s="7"/>
      <c r="I38" s="6"/>
    </row>
    <row r="39" spans="1:26" x14ac:dyDescent="0.25">
      <c r="A39" s="44" t="s">
        <v>26</v>
      </c>
      <c r="B39" s="6" t="s">
        <v>24</v>
      </c>
      <c r="C39" s="41">
        <v>8</v>
      </c>
      <c r="I39" s="6"/>
    </row>
    <row r="40" spans="1:26" x14ac:dyDescent="0.25">
      <c r="A40" s="44" t="s">
        <v>27</v>
      </c>
      <c r="B40" s="6" t="s">
        <v>24</v>
      </c>
      <c r="C40" s="60">
        <f>C39/$C$3</f>
        <v>0.53333333333333333</v>
      </c>
      <c r="D40" s="7"/>
      <c r="E40" s="7"/>
      <c r="I40" s="94" t="s">
        <v>93</v>
      </c>
      <c r="J40" s="88" t="s">
        <v>8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 spans="1:26" x14ac:dyDescent="0.25">
      <c r="A41" s="6" t="s">
        <v>34</v>
      </c>
      <c r="B41" s="6" t="s">
        <v>11</v>
      </c>
      <c r="C41" s="3">
        <f>(C37*100-C39)/100</f>
        <v>0.62990649999999992</v>
      </c>
      <c r="D41" s="7"/>
      <c r="E41" s="7"/>
      <c r="I41" s="43" t="s">
        <v>16</v>
      </c>
      <c r="J41" s="42">
        <v>0</v>
      </c>
      <c r="K41" s="42">
        <f>J41+1</f>
        <v>1</v>
      </c>
      <c r="L41" s="42">
        <f t="shared" ref="L41" si="11">K41+1</f>
        <v>2</v>
      </c>
      <c r="M41" s="42">
        <f t="shared" ref="M41" si="12">L41+1</f>
        <v>3</v>
      </c>
      <c r="N41" s="42">
        <f t="shared" ref="N41" si="13">M41+1</f>
        <v>4</v>
      </c>
      <c r="O41" s="42">
        <f t="shared" ref="O41" si="14">N41+1</f>
        <v>5</v>
      </c>
      <c r="P41" s="42">
        <f t="shared" ref="P41" si="15">O41+1</f>
        <v>6</v>
      </c>
      <c r="Q41" s="42">
        <f t="shared" ref="Q41" si="16">P41+1</f>
        <v>7</v>
      </c>
      <c r="R41" s="42">
        <f t="shared" ref="R41" si="17">Q41+1</f>
        <v>8</v>
      </c>
      <c r="S41" s="42">
        <f t="shared" ref="S41" si="18">R41+1</f>
        <v>9</v>
      </c>
      <c r="T41" s="42">
        <f t="shared" ref="T41" si="19">S41+1</f>
        <v>10</v>
      </c>
      <c r="U41" s="42">
        <f t="shared" ref="U41" si="20">T41+1</f>
        <v>11</v>
      </c>
      <c r="V41" s="42">
        <f t="shared" ref="V41" si="21">U41+1</f>
        <v>12</v>
      </c>
      <c r="W41" s="42">
        <f t="shared" ref="W41" si="22">V41+1</f>
        <v>13</v>
      </c>
      <c r="X41" s="42">
        <f t="shared" ref="X41" si="23">W41+1</f>
        <v>14</v>
      </c>
      <c r="Y41" s="42">
        <f t="shared" ref="Y41" si="24">X41+1</f>
        <v>15</v>
      </c>
    </row>
    <row r="43" spans="1:26" s="5" customFormat="1" x14ac:dyDescent="0.25">
      <c r="A43" s="5" t="s">
        <v>31</v>
      </c>
      <c r="B43" s="5" t="s">
        <v>11</v>
      </c>
      <c r="I43" s="67"/>
      <c r="K43" s="4">
        <f>'Niveau avancé'!C37</f>
        <v>0.70990649999999988</v>
      </c>
      <c r="L43" s="4">
        <f>(K43*100-'Niveau avancé'!$C$40)/100</f>
        <v>0.70457316666666658</v>
      </c>
      <c r="M43" s="4">
        <f>(L43*100-'Niveau avancé'!$C$40)/100</f>
        <v>0.69923983333333328</v>
      </c>
      <c r="N43" s="4">
        <f>(M43*100-'Niveau avancé'!$C$40)/100</f>
        <v>0.69390649999999998</v>
      </c>
      <c r="O43" s="4">
        <f>(N43*100-'Niveau avancé'!$C$40)/100</f>
        <v>0.68857316666666657</v>
      </c>
      <c r="P43" s="4">
        <f>(O43*100-'Niveau avancé'!$C$40)/100</f>
        <v>0.68323983333333327</v>
      </c>
      <c r="Q43" s="4">
        <f>(P43*100-'Niveau avancé'!$C$40)/100</f>
        <v>0.67790649999999997</v>
      </c>
      <c r="R43" s="4">
        <f>(Q43*100-'Niveau avancé'!$C$40)/100</f>
        <v>0.67257316666666667</v>
      </c>
      <c r="S43" s="4">
        <f>(R43*100-'Niveau avancé'!$C$40)/100</f>
        <v>0.66723983333333337</v>
      </c>
      <c r="T43" s="4">
        <f>(S43*100-'Niveau avancé'!$C$40)/100</f>
        <v>0.66190650000000006</v>
      </c>
      <c r="U43" s="4">
        <f>(T43*100-'Niveau avancé'!$C$40)/100</f>
        <v>0.65657316666666676</v>
      </c>
      <c r="V43" s="4">
        <f>(U43*100-'Niveau avancé'!$C$40)/100</f>
        <v>0.65123983333333346</v>
      </c>
      <c r="W43" s="4">
        <f>(V43*100-'Niveau avancé'!$C$40)/100</f>
        <v>0.64590650000000016</v>
      </c>
      <c r="X43" s="4">
        <f>(W43*100-'Niveau avancé'!$C$40)/100</f>
        <v>0.64057316666666675</v>
      </c>
      <c r="Y43" s="4">
        <f>(X43*100-'Niveau avancé'!$C$40)/100</f>
        <v>0.63523983333333345</v>
      </c>
    </row>
    <row r="44" spans="1:26" x14ac:dyDescent="0.25">
      <c r="A44" s="6" t="s">
        <v>25</v>
      </c>
      <c r="B44" s="6" t="s">
        <v>30</v>
      </c>
      <c r="I44" s="48">
        <f>NPV($C$4,K44:Y44)+J44</f>
        <v>57253.975096135531</v>
      </c>
      <c r="K44" s="7">
        <f>$D$15*K43*'Niveau avancé'!$C$29*365/1000</f>
        <v>7838.2551431249985</v>
      </c>
      <c r="L44" s="7">
        <f>$D$15*L43*'Niveau avancé'!$C$29*365/1000</f>
        <v>7779.3684764583322</v>
      </c>
      <c r="M44" s="7">
        <f>$D$15*M43*'Niveau avancé'!$C$29*365/1000</f>
        <v>7720.4818097916659</v>
      </c>
      <c r="N44" s="7">
        <f>$D$15*N43*'Niveau avancé'!$C$29*365/1000</f>
        <v>7661.5951431249996</v>
      </c>
      <c r="O44" s="7">
        <f>$D$15*O43*'Niveau avancé'!$C$29*365/1000</f>
        <v>7602.7084764583324</v>
      </c>
      <c r="P44" s="7">
        <f>$D$15*P43*'Niveau avancé'!$C$29*365/1000</f>
        <v>7543.8218097916651</v>
      </c>
      <c r="Q44" s="7">
        <f>$D$15*Q43*'Niveau avancé'!$C$29*365/1000</f>
        <v>7484.9351431249997</v>
      </c>
      <c r="R44" s="7">
        <f>$D$15*R43*'Niveau avancé'!$C$29*365/1000</f>
        <v>7426.0484764583334</v>
      </c>
      <c r="S44" s="7">
        <f>$D$15*S43*'Niveau avancé'!$C$29*365/1000</f>
        <v>7367.1618097916671</v>
      </c>
      <c r="T44" s="7">
        <f>$D$15*T43*'Niveau avancé'!$C$29*365/1000</f>
        <v>7308.2751431250017</v>
      </c>
      <c r="U44" s="7">
        <f>$D$15*U43*'Niveau avancé'!$C$29*365/1000</f>
        <v>7249.3884764583345</v>
      </c>
      <c r="V44" s="7">
        <f>$D$15*V43*'Niveau avancé'!$C$29*365/1000</f>
        <v>7190.5018097916682</v>
      </c>
      <c r="W44" s="7">
        <f>$D$15*W43*'Niveau avancé'!$C$29*365/1000</f>
        <v>7131.6151431250009</v>
      </c>
      <c r="X44" s="7">
        <f>$D$15*X43*'Niveau avancé'!$C$29*365/1000</f>
        <v>7072.7284764583346</v>
      </c>
      <c r="Y44" s="7">
        <f>$D$15*Y43*'Niveau avancé'!$C$29*365/1000</f>
        <v>7013.8418097916674</v>
      </c>
      <c r="Z44" s="5"/>
    </row>
    <row r="46" spans="1:26" x14ac:dyDescent="0.25">
      <c r="A46" s="8" t="s">
        <v>32</v>
      </c>
      <c r="B46" s="6" t="s">
        <v>33</v>
      </c>
      <c r="C46" s="85">
        <f>(I19+I23)/I44</f>
        <v>0.30299500980613714</v>
      </c>
      <c r="I46" s="6"/>
    </row>
    <row r="47" spans="1:26" x14ac:dyDescent="0.25">
      <c r="C47" s="7"/>
      <c r="D47" s="7"/>
      <c r="E47" s="7"/>
      <c r="I47" s="6"/>
    </row>
    <row r="48" spans="1:26" s="39" customFormat="1" ht="21" customHeight="1" x14ac:dyDescent="0.25">
      <c r="A48" s="23" t="s">
        <v>95</v>
      </c>
    </row>
    <row r="49" spans="1:25" x14ac:dyDescent="0.25">
      <c r="I49" s="6"/>
    </row>
    <row r="50" spans="1:25" x14ac:dyDescent="0.25">
      <c r="I50" s="6"/>
    </row>
    <row r="51" spans="1:25" x14ac:dyDescent="0.25">
      <c r="B51" s="68" t="s">
        <v>3</v>
      </c>
      <c r="C51" s="68" t="s">
        <v>4</v>
      </c>
      <c r="D51" s="68" t="s">
        <v>13</v>
      </c>
      <c r="E51" s="109" t="s">
        <v>5</v>
      </c>
      <c r="F51" s="110"/>
      <c r="G51" s="68" t="s">
        <v>40</v>
      </c>
      <c r="I51" s="94" t="s">
        <v>93</v>
      </c>
      <c r="J51" s="88" t="s">
        <v>8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spans="1:25" x14ac:dyDescent="0.25">
      <c r="B52" s="42" t="s">
        <v>14</v>
      </c>
      <c r="C52" s="11" t="s">
        <v>15</v>
      </c>
      <c r="D52" s="11" t="s">
        <v>16</v>
      </c>
      <c r="E52" s="11" t="s">
        <v>12</v>
      </c>
      <c r="F52" s="11" t="s">
        <v>36</v>
      </c>
      <c r="G52" s="11" t="s">
        <v>29</v>
      </c>
      <c r="I52" s="43" t="s">
        <v>16</v>
      </c>
      <c r="J52" s="42">
        <v>0</v>
      </c>
      <c r="K52" s="42">
        <f>J52+1</f>
        <v>1</v>
      </c>
      <c r="L52" s="42">
        <f t="shared" ref="L52" si="25">K52+1</f>
        <v>2</v>
      </c>
      <c r="M52" s="42">
        <f t="shared" ref="M52" si="26">L52+1</f>
        <v>3</v>
      </c>
      <c r="N52" s="42">
        <f t="shared" ref="N52" si="27">M52+1</f>
        <v>4</v>
      </c>
      <c r="O52" s="42">
        <f t="shared" ref="O52" si="28">N52+1</f>
        <v>5</v>
      </c>
      <c r="P52" s="42">
        <f t="shared" ref="P52" si="29">O52+1</f>
        <v>6</v>
      </c>
      <c r="Q52" s="42">
        <f t="shared" ref="Q52" si="30">P52+1</f>
        <v>7</v>
      </c>
      <c r="R52" s="42">
        <f t="shared" ref="R52" si="31">Q52+1</f>
        <v>8</v>
      </c>
      <c r="S52" s="42">
        <f t="shared" ref="S52" si="32">R52+1</f>
        <v>9</v>
      </c>
      <c r="T52" s="42">
        <f t="shared" ref="T52" si="33">S52+1</f>
        <v>10</v>
      </c>
      <c r="U52" s="42">
        <f t="shared" ref="U52" si="34">T52+1</f>
        <v>11</v>
      </c>
      <c r="V52" s="42">
        <f t="shared" ref="V52" si="35">U52+1</f>
        <v>12</v>
      </c>
      <c r="W52" s="42">
        <f t="shared" ref="W52" si="36">V52+1</f>
        <v>13</v>
      </c>
      <c r="X52" s="42">
        <f t="shared" ref="X52" si="37">W52+1</f>
        <v>14</v>
      </c>
      <c r="Y52" s="42">
        <f t="shared" ref="Y52" si="38">X52+1</f>
        <v>15</v>
      </c>
    </row>
    <row r="53" spans="1:25" x14ac:dyDescent="0.25">
      <c r="A53" s="8" t="s">
        <v>98</v>
      </c>
      <c r="B53" s="44"/>
      <c r="C53" s="7"/>
      <c r="D53" s="7"/>
      <c r="E53" s="7"/>
      <c r="F53" s="7"/>
      <c r="G53" s="7"/>
    </row>
    <row r="54" spans="1:25" x14ac:dyDescent="0.25">
      <c r="A54" s="8"/>
      <c r="B54" s="44"/>
      <c r="C54" s="7"/>
      <c r="D54" s="7"/>
      <c r="E54" s="7"/>
      <c r="F54" s="7"/>
      <c r="G54" s="7"/>
    </row>
    <row r="55" spans="1:25" x14ac:dyDescent="0.25">
      <c r="A55" s="28" t="s">
        <v>38</v>
      </c>
      <c r="B55" s="44" t="s">
        <v>39</v>
      </c>
      <c r="C55" s="46">
        <v>250</v>
      </c>
      <c r="D55" s="45">
        <v>5</v>
      </c>
      <c r="E55" s="7">
        <f>C55*D55</f>
        <v>1250</v>
      </c>
      <c r="F55" s="54">
        <f>E55/E$61</f>
        <v>0.11936022917164001</v>
      </c>
      <c r="G55" s="46">
        <v>5</v>
      </c>
      <c r="I55" s="57">
        <f t="shared" ref="I55:I60" si="39">NPV($C$4,K55:X55)+J55</f>
        <v>2508.0807656108582</v>
      </c>
      <c r="J55" s="6">
        <f t="shared" ref="J55:J60" si="40">E55</f>
        <v>1250</v>
      </c>
      <c r="K55" s="6">
        <f t="shared" ref="K55:Y58" si="41">IF(ROUND(K$52/$G55,0)=K$52/$G55,1,0)*$J55</f>
        <v>0</v>
      </c>
      <c r="L55" s="6">
        <f t="shared" si="41"/>
        <v>0</v>
      </c>
      <c r="M55" s="6">
        <f t="shared" si="41"/>
        <v>0</v>
      </c>
      <c r="N55" s="6">
        <f t="shared" si="41"/>
        <v>0</v>
      </c>
      <c r="O55" s="6">
        <f t="shared" si="41"/>
        <v>1250</v>
      </c>
      <c r="P55" s="6">
        <f t="shared" si="41"/>
        <v>0</v>
      </c>
      <c r="Q55" s="6">
        <f t="shared" si="41"/>
        <v>0</v>
      </c>
      <c r="R55" s="6">
        <f t="shared" si="41"/>
        <v>0</v>
      </c>
      <c r="S55" s="6">
        <f t="shared" si="41"/>
        <v>0</v>
      </c>
      <c r="T55" s="6">
        <f t="shared" si="41"/>
        <v>1250</v>
      </c>
      <c r="U55" s="6">
        <f t="shared" si="41"/>
        <v>0</v>
      </c>
      <c r="V55" s="6">
        <f t="shared" si="41"/>
        <v>0</v>
      </c>
      <c r="W55" s="6">
        <f t="shared" si="41"/>
        <v>0</v>
      </c>
      <c r="X55" s="6">
        <f t="shared" si="41"/>
        <v>0</v>
      </c>
      <c r="Y55" s="6">
        <f t="shared" si="41"/>
        <v>1250</v>
      </c>
    </row>
    <row r="56" spans="1:25" x14ac:dyDescent="0.25">
      <c r="A56" s="28" t="s">
        <v>0</v>
      </c>
      <c r="B56" s="44" t="s">
        <v>30</v>
      </c>
      <c r="C56" s="46">
        <v>125</v>
      </c>
      <c r="D56" s="45">
        <v>16</v>
      </c>
      <c r="E56" s="7">
        <f>C56*D56</f>
        <v>2000</v>
      </c>
      <c r="F56" s="54">
        <f t="shared" ref="F56:F59" si="42">E56/E$61</f>
        <v>0.190976366674624</v>
      </c>
      <c r="G56" s="46">
        <v>4</v>
      </c>
      <c r="I56" s="57">
        <f t="shared" si="39"/>
        <v>4936.3033065703203</v>
      </c>
      <c r="J56" s="6">
        <f t="shared" si="40"/>
        <v>2000</v>
      </c>
      <c r="K56" s="6">
        <f t="shared" si="41"/>
        <v>0</v>
      </c>
      <c r="L56" s="6">
        <f>IF(ROUND(L$52/$G56,0)=L$52/$G56,1,0)*$J56</f>
        <v>0</v>
      </c>
      <c r="M56" s="6">
        <f t="shared" si="41"/>
        <v>0</v>
      </c>
      <c r="N56" s="6">
        <f t="shared" si="41"/>
        <v>2000</v>
      </c>
      <c r="O56" s="6">
        <f t="shared" si="41"/>
        <v>0</v>
      </c>
      <c r="P56" s="6">
        <f t="shared" si="41"/>
        <v>0</v>
      </c>
      <c r="Q56" s="6">
        <f t="shared" si="41"/>
        <v>0</v>
      </c>
      <c r="R56" s="6">
        <f t="shared" si="41"/>
        <v>2000</v>
      </c>
      <c r="S56" s="6">
        <f t="shared" si="41"/>
        <v>0</v>
      </c>
      <c r="T56" s="6">
        <f t="shared" si="41"/>
        <v>0</v>
      </c>
      <c r="U56" s="6">
        <f t="shared" si="41"/>
        <v>0</v>
      </c>
      <c r="V56" s="6">
        <f t="shared" si="41"/>
        <v>2000</v>
      </c>
      <c r="W56" s="6">
        <f t="shared" si="41"/>
        <v>0</v>
      </c>
      <c r="X56" s="6">
        <f t="shared" si="41"/>
        <v>0</v>
      </c>
      <c r="Y56" s="6">
        <f t="shared" si="41"/>
        <v>0</v>
      </c>
    </row>
    <row r="57" spans="1:25" x14ac:dyDescent="0.25">
      <c r="A57" s="28" t="s">
        <v>1</v>
      </c>
      <c r="B57" s="44" t="s">
        <v>17</v>
      </c>
      <c r="C57" s="81">
        <v>0.3</v>
      </c>
      <c r="D57" s="45">
        <v>5500</v>
      </c>
      <c r="E57" s="7">
        <f>C57*D57</f>
        <v>1650</v>
      </c>
      <c r="F57" s="54">
        <f t="shared" si="42"/>
        <v>0.1575555025065648</v>
      </c>
      <c r="G57" s="45">
        <v>25</v>
      </c>
      <c r="I57" s="57">
        <f t="shared" si="39"/>
        <v>1650</v>
      </c>
      <c r="J57" s="6">
        <f t="shared" si="40"/>
        <v>1650</v>
      </c>
      <c r="K57" s="6">
        <f t="shared" si="41"/>
        <v>0</v>
      </c>
      <c r="L57" s="6">
        <f t="shared" si="41"/>
        <v>0</v>
      </c>
      <c r="M57" s="6">
        <f t="shared" si="41"/>
        <v>0</v>
      </c>
      <c r="N57" s="6">
        <f t="shared" si="41"/>
        <v>0</v>
      </c>
      <c r="O57" s="6">
        <f t="shared" si="41"/>
        <v>0</v>
      </c>
      <c r="P57" s="6">
        <f t="shared" si="41"/>
        <v>0</v>
      </c>
      <c r="Q57" s="6">
        <f t="shared" si="41"/>
        <v>0</v>
      </c>
      <c r="R57" s="6">
        <f t="shared" si="41"/>
        <v>0</v>
      </c>
      <c r="S57" s="6">
        <f t="shared" si="41"/>
        <v>0</v>
      </c>
      <c r="T57" s="6">
        <f t="shared" si="41"/>
        <v>0</v>
      </c>
      <c r="U57" s="6">
        <f t="shared" si="41"/>
        <v>0</v>
      </c>
      <c r="V57" s="6">
        <f t="shared" si="41"/>
        <v>0</v>
      </c>
      <c r="W57" s="6">
        <f t="shared" si="41"/>
        <v>0</v>
      </c>
      <c r="X57" s="6">
        <f t="shared" si="41"/>
        <v>0</v>
      </c>
      <c r="Y57" s="6">
        <f t="shared" si="41"/>
        <v>0</v>
      </c>
    </row>
    <row r="58" spans="1:25" x14ac:dyDescent="0.25">
      <c r="A58" s="28" t="s">
        <v>2</v>
      </c>
      <c r="B58" s="44" t="s">
        <v>17</v>
      </c>
      <c r="C58" s="61">
        <v>0.2</v>
      </c>
      <c r="D58" s="16">
        <f>$D$15</f>
        <v>5500</v>
      </c>
      <c r="E58" s="14">
        <f>C58*D58</f>
        <v>1100</v>
      </c>
      <c r="F58" s="54">
        <f t="shared" si="42"/>
        <v>0.10503700167104321</v>
      </c>
      <c r="G58" s="45">
        <v>25</v>
      </c>
      <c r="I58" s="57">
        <f t="shared" si="39"/>
        <v>1100</v>
      </c>
      <c r="J58" s="6">
        <f t="shared" si="40"/>
        <v>1100</v>
      </c>
      <c r="K58" s="6">
        <f t="shared" si="41"/>
        <v>0</v>
      </c>
      <c r="L58" s="6">
        <f t="shared" si="41"/>
        <v>0</v>
      </c>
      <c r="M58" s="6">
        <f t="shared" si="41"/>
        <v>0</v>
      </c>
      <c r="N58" s="6">
        <f t="shared" si="41"/>
        <v>0</v>
      </c>
      <c r="O58" s="6">
        <f t="shared" si="41"/>
        <v>0</v>
      </c>
      <c r="P58" s="6">
        <f t="shared" si="41"/>
        <v>0</v>
      </c>
      <c r="Q58" s="6">
        <f t="shared" si="41"/>
        <v>0</v>
      </c>
      <c r="R58" s="6">
        <f t="shared" si="41"/>
        <v>0</v>
      </c>
      <c r="S58" s="6">
        <f t="shared" si="41"/>
        <v>0</v>
      </c>
      <c r="T58" s="6">
        <f t="shared" si="41"/>
        <v>0</v>
      </c>
      <c r="U58" s="6">
        <f t="shared" si="41"/>
        <v>0</v>
      </c>
      <c r="V58" s="6">
        <f t="shared" si="41"/>
        <v>0</v>
      </c>
      <c r="W58" s="6">
        <f t="shared" si="41"/>
        <v>0</v>
      </c>
      <c r="X58" s="6">
        <f t="shared" si="41"/>
        <v>0</v>
      </c>
      <c r="Y58" s="6">
        <f t="shared" si="41"/>
        <v>0</v>
      </c>
    </row>
    <row r="59" spans="1:25" x14ac:dyDescent="0.25">
      <c r="A59" s="28" t="s">
        <v>6</v>
      </c>
      <c r="B59" s="44" t="s">
        <v>17</v>
      </c>
      <c r="C59" s="61">
        <v>0.25</v>
      </c>
      <c r="D59" s="16">
        <f>$D$15</f>
        <v>5500</v>
      </c>
      <c r="E59" s="14">
        <f>C59*D59</f>
        <v>1375</v>
      </c>
      <c r="F59" s="54">
        <f t="shared" si="42"/>
        <v>0.13129625208880402</v>
      </c>
      <c r="I59" s="57">
        <f t="shared" si="39"/>
        <v>1925.7069084983641</v>
      </c>
      <c r="J59" s="6">
        <f t="shared" si="40"/>
        <v>1375</v>
      </c>
      <c r="K59" s="6">
        <f>SUM(K55:K58)*$F59</f>
        <v>0</v>
      </c>
      <c r="L59" s="6">
        <f t="shared" ref="L59:Y59" si="43">SUM(L55:L58)*$F59</f>
        <v>0</v>
      </c>
      <c r="M59" s="6">
        <f t="shared" si="43"/>
        <v>0</v>
      </c>
      <c r="N59" s="6">
        <f t="shared" si="43"/>
        <v>262.59250417760802</v>
      </c>
      <c r="O59" s="6">
        <f t="shared" si="43"/>
        <v>164.12031511100503</v>
      </c>
      <c r="P59" s="6">
        <f t="shared" si="43"/>
        <v>0</v>
      </c>
      <c r="Q59" s="6">
        <f t="shared" si="43"/>
        <v>0</v>
      </c>
      <c r="R59" s="6">
        <f t="shared" si="43"/>
        <v>262.59250417760802</v>
      </c>
      <c r="S59" s="6">
        <f t="shared" si="43"/>
        <v>0</v>
      </c>
      <c r="T59" s="6">
        <f t="shared" si="43"/>
        <v>164.12031511100503</v>
      </c>
      <c r="U59" s="6">
        <f t="shared" si="43"/>
        <v>0</v>
      </c>
      <c r="V59" s="6">
        <f t="shared" si="43"/>
        <v>262.59250417760802</v>
      </c>
      <c r="W59" s="6">
        <f t="shared" si="43"/>
        <v>0</v>
      </c>
      <c r="X59" s="6">
        <f t="shared" si="43"/>
        <v>0</v>
      </c>
      <c r="Y59" s="6">
        <f t="shared" si="43"/>
        <v>164.12031511100503</v>
      </c>
    </row>
    <row r="60" spans="1:25" x14ac:dyDescent="0.25">
      <c r="A60" s="28" t="s">
        <v>9</v>
      </c>
      <c r="B60" s="44" t="s">
        <v>17</v>
      </c>
      <c r="C60" s="55">
        <f>E60/D60</f>
        <v>0.56318181818181823</v>
      </c>
      <c r="D60" s="16">
        <f>$D$15</f>
        <v>5500</v>
      </c>
      <c r="E60" s="14">
        <f>SUM(E$55:E59)*F60</f>
        <v>3097.5</v>
      </c>
      <c r="F60" s="87">
        <v>0.42</v>
      </c>
      <c r="I60" s="57">
        <f t="shared" si="39"/>
        <v>5090.4382118854073</v>
      </c>
      <c r="J60" s="6">
        <f t="shared" si="40"/>
        <v>3097.5</v>
      </c>
      <c r="K60" s="6">
        <f>SUM(K55:K59)*$F60</f>
        <v>0</v>
      </c>
      <c r="L60" s="6">
        <f t="shared" ref="L60:Y60" si="44">SUM(L55:L59)*$F60</f>
        <v>0</v>
      </c>
      <c r="M60" s="6">
        <f t="shared" si="44"/>
        <v>0</v>
      </c>
      <c r="N60" s="6">
        <f t="shared" si="44"/>
        <v>950.28885175459538</v>
      </c>
      <c r="O60" s="6">
        <f t="shared" si="44"/>
        <v>593.93053234662216</v>
      </c>
      <c r="P60" s="6">
        <f t="shared" si="44"/>
        <v>0</v>
      </c>
      <c r="Q60" s="6">
        <f t="shared" si="44"/>
        <v>0</v>
      </c>
      <c r="R60" s="6">
        <f t="shared" si="44"/>
        <v>950.28885175459538</v>
      </c>
      <c r="S60" s="6">
        <f t="shared" si="44"/>
        <v>0</v>
      </c>
      <c r="T60" s="6">
        <f t="shared" si="44"/>
        <v>593.93053234662216</v>
      </c>
      <c r="U60" s="6">
        <f t="shared" si="44"/>
        <v>0</v>
      </c>
      <c r="V60" s="6">
        <f t="shared" si="44"/>
        <v>950.28885175459538</v>
      </c>
      <c r="W60" s="6">
        <f t="shared" si="44"/>
        <v>0</v>
      </c>
      <c r="X60" s="6">
        <f t="shared" si="44"/>
        <v>0</v>
      </c>
      <c r="Y60" s="6">
        <f t="shared" si="44"/>
        <v>593.93053234662216</v>
      </c>
    </row>
    <row r="61" spans="1:25" x14ac:dyDescent="0.25">
      <c r="A61" s="47" t="s">
        <v>10</v>
      </c>
      <c r="B61" s="44" t="s">
        <v>17</v>
      </c>
      <c r="C61" s="55">
        <f>E61/D61</f>
        <v>1.9040909090909091</v>
      </c>
      <c r="D61" s="16">
        <f>$D$15</f>
        <v>5500</v>
      </c>
      <c r="E61" s="86">
        <f>SUM(E55:E60)</f>
        <v>10472.5</v>
      </c>
      <c r="F61" s="4">
        <f>E61/SUM(E$13:E60)</f>
        <v>0.17275033567227627</v>
      </c>
      <c r="I61" s="48">
        <f>NPV($C$4,K61:X61)+J61</f>
        <v>17210.529192564951</v>
      </c>
      <c r="J61" s="6">
        <f t="shared" ref="J61:Y61" si="45">SUM(J55:J60)</f>
        <v>10472.5</v>
      </c>
      <c r="K61" s="6">
        <f t="shared" si="45"/>
        <v>0</v>
      </c>
      <c r="L61" s="6">
        <f t="shared" si="45"/>
        <v>0</v>
      </c>
      <c r="M61" s="6">
        <f t="shared" si="45"/>
        <v>0</v>
      </c>
      <c r="N61" s="6">
        <f t="shared" si="45"/>
        <v>3212.8813559322034</v>
      </c>
      <c r="O61" s="6">
        <f t="shared" si="45"/>
        <v>2008.0508474576272</v>
      </c>
      <c r="P61" s="6">
        <f t="shared" si="45"/>
        <v>0</v>
      </c>
      <c r="Q61" s="6">
        <f t="shared" si="45"/>
        <v>0</v>
      </c>
      <c r="R61" s="6">
        <f t="shared" si="45"/>
        <v>3212.8813559322034</v>
      </c>
      <c r="S61" s="6">
        <f t="shared" si="45"/>
        <v>0</v>
      </c>
      <c r="T61" s="6">
        <f t="shared" si="45"/>
        <v>2008.0508474576272</v>
      </c>
      <c r="U61" s="6">
        <f t="shared" si="45"/>
        <v>0</v>
      </c>
      <c r="V61" s="6">
        <f t="shared" si="45"/>
        <v>3212.8813559322034</v>
      </c>
      <c r="W61" s="6">
        <f t="shared" si="45"/>
        <v>0</v>
      </c>
      <c r="X61" s="6">
        <f t="shared" si="45"/>
        <v>0</v>
      </c>
      <c r="Y61" s="6">
        <f t="shared" si="45"/>
        <v>2008.0508474576272</v>
      </c>
    </row>
    <row r="62" spans="1:25" x14ac:dyDescent="0.25">
      <c r="B62" s="44"/>
      <c r="C62" s="7"/>
      <c r="D62" s="7"/>
      <c r="E62" s="7"/>
      <c r="F62" s="4"/>
      <c r="G62" s="7"/>
    </row>
    <row r="63" spans="1:25" x14ac:dyDescent="0.25">
      <c r="A63" s="6" t="s">
        <v>9</v>
      </c>
      <c r="B63" s="44"/>
      <c r="C63" s="3">
        <f>E60/E61</f>
        <v>0.29577464788732394</v>
      </c>
      <c r="D63" s="7"/>
      <c r="E63" s="7"/>
      <c r="F63" s="4"/>
      <c r="G63" s="7"/>
    </row>
    <row r="64" spans="1:25" x14ac:dyDescent="0.25">
      <c r="B64" s="44"/>
      <c r="C64" s="7"/>
      <c r="D64" s="7"/>
      <c r="E64" s="7"/>
      <c r="F64" s="4"/>
      <c r="G64" s="7"/>
    </row>
    <row r="65" spans="1:25" x14ac:dyDescent="0.25">
      <c r="A65" s="8" t="s">
        <v>99</v>
      </c>
      <c r="B65" s="44" t="s">
        <v>17</v>
      </c>
      <c r="C65" s="81">
        <v>0.03</v>
      </c>
      <c r="D65" s="16">
        <f>D57</f>
        <v>5500</v>
      </c>
      <c r="E65" s="14">
        <f>C65*D65</f>
        <v>165</v>
      </c>
      <c r="F65" s="4">
        <f>E65/E61</f>
        <v>1.5755550250656482E-2</v>
      </c>
      <c r="G65" s="45">
        <v>1</v>
      </c>
      <c r="I65" s="48">
        <f>NPV($C$4,K65:X65)+J65</f>
        <v>1215.5034303949674</v>
      </c>
      <c r="K65" s="6">
        <f>$E$65</f>
        <v>165</v>
      </c>
      <c r="L65" s="6">
        <f t="shared" ref="L65:Y65" si="46">$E$65</f>
        <v>165</v>
      </c>
      <c r="M65" s="6">
        <f t="shared" si="46"/>
        <v>165</v>
      </c>
      <c r="N65" s="6">
        <f t="shared" si="46"/>
        <v>165</v>
      </c>
      <c r="O65" s="6">
        <f t="shared" si="46"/>
        <v>165</v>
      </c>
      <c r="P65" s="6">
        <f t="shared" si="46"/>
        <v>165</v>
      </c>
      <c r="Q65" s="6">
        <f t="shared" si="46"/>
        <v>165</v>
      </c>
      <c r="R65" s="6">
        <f t="shared" si="46"/>
        <v>165</v>
      </c>
      <c r="S65" s="6">
        <f t="shared" si="46"/>
        <v>165</v>
      </c>
      <c r="T65" s="6">
        <f t="shared" si="46"/>
        <v>165</v>
      </c>
      <c r="U65" s="6">
        <f t="shared" si="46"/>
        <v>165</v>
      </c>
      <c r="V65" s="6">
        <f t="shared" si="46"/>
        <v>165</v>
      </c>
      <c r="W65" s="6">
        <f t="shared" si="46"/>
        <v>165</v>
      </c>
      <c r="X65" s="6">
        <f t="shared" si="46"/>
        <v>165</v>
      </c>
      <c r="Y65" s="6">
        <f t="shared" si="46"/>
        <v>165</v>
      </c>
    </row>
    <row r="67" spans="1:25" x14ac:dyDescent="0.25">
      <c r="A67" s="8" t="s">
        <v>101</v>
      </c>
      <c r="B67" s="44" t="s">
        <v>17</v>
      </c>
      <c r="C67" s="55">
        <f>E67/D67</f>
        <v>3.3501877496290762</v>
      </c>
      <c r="D67" s="16">
        <f>$D$15</f>
        <v>5500</v>
      </c>
      <c r="E67" s="86">
        <f>I67</f>
        <v>18426.03262295992</v>
      </c>
      <c r="F67" s="4">
        <f>E67/E61</f>
        <v>1.7594683812804888</v>
      </c>
      <c r="I67" s="48">
        <f>I65+I61</f>
        <v>18426.03262295992</v>
      </c>
      <c r="J67" s="6">
        <f>J65+J61</f>
        <v>10472.5</v>
      </c>
      <c r="K67" s="6">
        <f t="shared" ref="K67:Y67" si="47">K65+K61</f>
        <v>165</v>
      </c>
      <c r="L67" s="6">
        <f t="shared" si="47"/>
        <v>165</v>
      </c>
      <c r="M67" s="6">
        <f t="shared" si="47"/>
        <v>165</v>
      </c>
      <c r="N67" s="6">
        <f t="shared" si="47"/>
        <v>3377.8813559322034</v>
      </c>
      <c r="O67" s="6">
        <f t="shared" si="47"/>
        <v>2173.0508474576272</v>
      </c>
      <c r="P67" s="6">
        <f t="shared" si="47"/>
        <v>165</v>
      </c>
      <c r="Q67" s="6">
        <f t="shared" si="47"/>
        <v>165</v>
      </c>
      <c r="R67" s="6">
        <f t="shared" si="47"/>
        <v>3377.8813559322034</v>
      </c>
      <c r="S67" s="6">
        <f t="shared" si="47"/>
        <v>165</v>
      </c>
      <c r="T67" s="6">
        <f t="shared" si="47"/>
        <v>2173.0508474576272</v>
      </c>
      <c r="U67" s="6">
        <f t="shared" si="47"/>
        <v>165</v>
      </c>
      <c r="V67" s="6">
        <f t="shared" si="47"/>
        <v>3377.8813559322034</v>
      </c>
      <c r="W67" s="6">
        <f t="shared" si="47"/>
        <v>165</v>
      </c>
      <c r="X67" s="6">
        <f t="shared" si="47"/>
        <v>165</v>
      </c>
      <c r="Y67" s="6">
        <f t="shared" si="47"/>
        <v>2173.0508474576272</v>
      </c>
    </row>
    <row r="69" spans="1:25" x14ac:dyDescent="0.25">
      <c r="A69" s="8" t="s">
        <v>18</v>
      </c>
    </row>
    <row r="70" spans="1:25" x14ac:dyDescent="0.25">
      <c r="A70" s="30"/>
      <c r="C70" s="7"/>
      <c r="E70" s="7"/>
      <c r="F70" s="7"/>
      <c r="I70" s="6"/>
    </row>
    <row r="71" spans="1:25" x14ac:dyDescent="0.25">
      <c r="A71" s="6" t="s">
        <v>19</v>
      </c>
      <c r="B71" s="6" t="s">
        <v>20</v>
      </c>
      <c r="C71" s="56">
        <v>5.5</v>
      </c>
      <c r="I71" s="6"/>
    </row>
    <row r="72" spans="1:25" x14ac:dyDescent="0.25">
      <c r="I72" s="6"/>
    </row>
    <row r="73" spans="1:25" x14ac:dyDescent="0.25">
      <c r="A73" s="44" t="s">
        <v>117</v>
      </c>
      <c r="C73" s="7"/>
      <c r="I73" s="6"/>
    </row>
    <row r="74" spans="1:25" x14ac:dyDescent="0.25">
      <c r="A74" s="49" t="s">
        <v>1</v>
      </c>
      <c r="B74" s="6" t="s">
        <v>11</v>
      </c>
      <c r="C74" s="2">
        <v>0.85</v>
      </c>
      <c r="I74" s="6"/>
    </row>
    <row r="75" spans="1:25" x14ac:dyDescent="0.25">
      <c r="A75" s="49" t="s">
        <v>21</v>
      </c>
      <c r="B75" s="6" t="s">
        <v>11</v>
      </c>
      <c r="C75" s="2">
        <v>0.9</v>
      </c>
      <c r="I75" s="6"/>
    </row>
    <row r="76" spans="1:25" x14ac:dyDescent="0.25">
      <c r="A76" s="49" t="s">
        <v>22</v>
      </c>
      <c r="B76" s="6" t="s">
        <v>11</v>
      </c>
      <c r="C76" s="58">
        <v>0.95</v>
      </c>
      <c r="I76" s="6"/>
    </row>
    <row r="77" spans="1:25" x14ac:dyDescent="0.25">
      <c r="A77" s="49" t="s">
        <v>0</v>
      </c>
      <c r="B77" s="6" t="s">
        <v>11</v>
      </c>
      <c r="C77" s="2">
        <v>0.8</v>
      </c>
      <c r="I77" s="6"/>
    </row>
    <row r="78" spans="1:25" x14ac:dyDescent="0.25">
      <c r="A78" s="50" t="s">
        <v>23</v>
      </c>
      <c r="B78" s="51" t="s">
        <v>11</v>
      </c>
      <c r="C78" s="37">
        <v>0.85</v>
      </c>
      <c r="I78" s="6"/>
    </row>
    <row r="79" spans="1:25" x14ac:dyDescent="0.25">
      <c r="A79" s="52" t="s">
        <v>10</v>
      </c>
      <c r="B79" s="53"/>
      <c r="C79" s="38">
        <f>C74*C75*C76*C77*C78</f>
        <v>0.49419000000000002</v>
      </c>
      <c r="I79" s="6"/>
    </row>
    <row r="80" spans="1:25" x14ac:dyDescent="0.25">
      <c r="C80" s="7"/>
      <c r="I80" s="6"/>
    </row>
    <row r="81" spans="1:25" x14ac:dyDescent="0.25">
      <c r="A81" s="44" t="s">
        <v>26</v>
      </c>
      <c r="B81" s="6" t="s">
        <v>24</v>
      </c>
      <c r="C81" s="41">
        <v>10</v>
      </c>
      <c r="I81" s="6"/>
    </row>
    <row r="82" spans="1:25" x14ac:dyDescent="0.25">
      <c r="A82" s="44" t="s">
        <v>27</v>
      </c>
      <c r="B82" s="6" t="s">
        <v>24</v>
      </c>
      <c r="C82" s="60">
        <f>C81/$C$3</f>
        <v>0.66666666666666663</v>
      </c>
      <c r="D82" s="7"/>
      <c r="E82" s="7"/>
      <c r="I82" s="6"/>
    </row>
    <row r="83" spans="1:25" x14ac:dyDescent="0.25">
      <c r="A83" s="6" t="s">
        <v>34</v>
      </c>
      <c r="B83" s="6" t="s">
        <v>11</v>
      </c>
      <c r="C83" s="3">
        <f>(C79*100-C81)/100</f>
        <v>0.39419000000000004</v>
      </c>
      <c r="D83" s="7"/>
      <c r="E83" s="7"/>
      <c r="I83" s="94" t="s">
        <v>93</v>
      </c>
      <c r="J83" s="88" t="s">
        <v>8</v>
      </c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</row>
    <row r="84" spans="1:25" x14ac:dyDescent="0.25">
      <c r="C84" s="7"/>
      <c r="D84" s="7"/>
      <c r="E84" s="7"/>
      <c r="I84" s="43" t="s">
        <v>16</v>
      </c>
      <c r="J84" s="42">
        <v>0</v>
      </c>
      <c r="K84" s="42">
        <f>J84+1</f>
        <v>1</v>
      </c>
      <c r="L84" s="42">
        <f t="shared" ref="L84" si="48">K84+1</f>
        <v>2</v>
      </c>
      <c r="M84" s="42">
        <f t="shared" ref="M84" si="49">L84+1</f>
        <v>3</v>
      </c>
      <c r="N84" s="42">
        <f t="shared" ref="N84" si="50">M84+1</f>
        <v>4</v>
      </c>
      <c r="O84" s="42">
        <f t="shared" ref="O84" si="51">N84+1</f>
        <v>5</v>
      </c>
      <c r="P84" s="42">
        <f t="shared" ref="P84" si="52">O84+1</f>
        <v>6</v>
      </c>
      <c r="Q84" s="42">
        <f t="shared" ref="Q84" si="53">P84+1</f>
        <v>7</v>
      </c>
      <c r="R84" s="42">
        <f t="shared" ref="R84" si="54">Q84+1</f>
        <v>8</v>
      </c>
      <c r="S84" s="42">
        <f t="shared" ref="S84" si="55">R84+1</f>
        <v>9</v>
      </c>
      <c r="T84" s="42">
        <f t="shared" ref="T84" si="56">S84+1</f>
        <v>10</v>
      </c>
      <c r="U84" s="42">
        <f t="shared" ref="U84" si="57">T84+1</f>
        <v>11</v>
      </c>
      <c r="V84" s="42">
        <f t="shared" ref="V84" si="58">U84+1</f>
        <v>12</v>
      </c>
      <c r="W84" s="42">
        <f t="shared" ref="W84" si="59">V84+1</f>
        <v>13</v>
      </c>
      <c r="X84" s="42">
        <f t="shared" ref="X84:Y84" si="60">W84+1</f>
        <v>14</v>
      </c>
      <c r="Y84" s="42">
        <f t="shared" si="60"/>
        <v>15</v>
      </c>
    </row>
    <row r="85" spans="1:25" s="5" customFormat="1" x14ac:dyDescent="0.25">
      <c r="A85" s="5" t="s">
        <v>31</v>
      </c>
      <c r="B85" s="5" t="s">
        <v>11</v>
      </c>
      <c r="I85" s="67"/>
      <c r="K85" s="4">
        <f>'Niveau avancé'!C79</f>
        <v>0.49419000000000002</v>
      </c>
      <c r="L85" s="4">
        <f>(K85*100-'Niveau avancé'!$C$40)/100</f>
        <v>0.48885666666666672</v>
      </c>
      <c r="M85" s="4">
        <f>(L85*100-'Niveau avancé'!$C$40)/100</f>
        <v>0.48352333333333342</v>
      </c>
      <c r="N85" s="4">
        <f>(M85*100-'Niveau avancé'!$C$40)/100</f>
        <v>0.47819000000000011</v>
      </c>
      <c r="O85" s="4">
        <f>(N85*100-'Niveau avancé'!$C$40)/100</f>
        <v>0.47285666666666676</v>
      </c>
      <c r="P85" s="4">
        <f>(O85*100-'Niveau avancé'!$C$40)/100</f>
        <v>0.46752333333333346</v>
      </c>
      <c r="Q85" s="4">
        <f>(P85*100-'Niveau avancé'!$C$40)/100</f>
        <v>0.46219000000000016</v>
      </c>
      <c r="R85" s="4">
        <f>(Q85*100-'Niveau avancé'!$C$40)/100</f>
        <v>0.45685666666666686</v>
      </c>
      <c r="S85" s="4">
        <f>(R85*100-'Niveau avancé'!$C$40)/100</f>
        <v>0.4515233333333335</v>
      </c>
      <c r="T85" s="4">
        <f>(S85*100-'Niveau avancé'!$C$40)/100</f>
        <v>0.4461900000000002</v>
      </c>
      <c r="U85" s="4">
        <f>(T85*100-'Niveau avancé'!$C$40)/100</f>
        <v>0.4408566666666669</v>
      </c>
      <c r="V85" s="4">
        <f>(U85*100-'Niveau avancé'!$C$40)/100</f>
        <v>0.4355233333333336</v>
      </c>
      <c r="W85" s="4">
        <f>(V85*100-'Niveau avancé'!$C$40)/100</f>
        <v>0.43019000000000029</v>
      </c>
      <c r="X85" s="4">
        <f>(W85*100-'Niveau avancé'!$C$40)/100</f>
        <v>0.42485666666666694</v>
      </c>
      <c r="Y85" s="4">
        <f>(X85*100-'Niveau avancé'!$C$40)/100</f>
        <v>0.41952333333333364</v>
      </c>
    </row>
    <row r="86" spans="1:25" x14ac:dyDescent="0.25">
      <c r="A86" s="6" t="s">
        <v>25</v>
      </c>
      <c r="B86" s="6" t="s">
        <v>30</v>
      </c>
      <c r="I86" s="48">
        <f>NPV($C$4,K86:X86)+J86</f>
        <v>38029.08971204963</v>
      </c>
      <c r="K86" s="7">
        <f>$D$15*K85*'Niveau avancé'!$C$29*365/1000</f>
        <v>5456.4753375</v>
      </c>
      <c r="L86" s="7">
        <f>$D$15*L85*'Niveau avancé'!$C$29*365/1000</f>
        <v>5397.5886708333346</v>
      </c>
      <c r="M86" s="7">
        <f>$D$15*M85*'Niveau avancé'!$C$29*365/1000</f>
        <v>5338.7020041666683</v>
      </c>
      <c r="N86" s="7">
        <f>$D$15*N85*'Niveau avancé'!$C$29*365/1000</f>
        <v>5279.8153375000011</v>
      </c>
      <c r="O86" s="7">
        <f>$D$15*O85*'Niveau avancé'!$C$29*365/1000</f>
        <v>5220.9286708333348</v>
      </c>
      <c r="P86" s="7">
        <f>$D$15*P85*'Niveau avancé'!$C$29*365/1000</f>
        <v>5162.0420041666684</v>
      </c>
      <c r="Q86" s="7">
        <f>$D$15*Q85*'Niveau avancé'!$C$29*365/1000</f>
        <v>5103.1553375000021</v>
      </c>
      <c r="R86" s="7">
        <f>$D$15*R85*'Niveau avancé'!$C$29*365/1000</f>
        <v>5044.2686708333349</v>
      </c>
      <c r="S86" s="7">
        <f>$D$15*S85*'Niveau avancé'!$C$29*365/1000</f>
        <v>4985.3820041666686</v>
      </c>
      <c r="T86" s="7">
        <f>$D$15*T85*'Niveau avancé'!$C$29*365/1000</f>
        <v>4926.4953375000023</v>
      </c>
      <c r="U86" s="7">
        <f>$D$15*U85*'Niveau avancé'!$C$29*365/1000</f>
        <v>4867.6086708333351</v>
      </c>
      <c r="V86" s="7">
        <f>$D$15*V85*'Niveau avancé'!$C$29*365/1000</f>
        <v>4808.7220041666706</v>
      </c>
      <c r="W86" s="7">
        <f>$D$15*W85*'Niveau avancé'!$C$29*365/1000</f>
        <v>4749.8353375000033</v>
      </c>
      <c r="X86" s="7">
        <f>$D$15*X85*'Niveau avancé'!$C$29*365/1000</f>
        <v>4690.9486708333352</v>
      </c>
      <c r="Y86" s="7">
        <f>$D$15*Y85*'Niveau avancé'!$C$29*365/1000</f>
        <v>4632.0620041666698</v>
      </c>
    </row>
    <row r="88" spans="1:25" x14ac:dyDescent="0.25">
      <c r="A88" s="8" t="s">
        <v>32</v>
      </c>
      <c r="B88" s="6" t="s">
        <v>33</v>
      </c>
      <c r="C88" s="85">
        <f>(I61+I65)/I86</f>
        <v>0.48452468261741161</v>
      </c>
      <c r="I88" s="6"/>
    </row>
    <row r="89" spans="1:25" x14ac:dyDescent="0.25">
      <c r="A89" s="91" t="s">
        <v>110</v>
      </c>
      <c r="C89" s="92">
        <f>D111</f>
        <v>0.60787378347388499</v>
      </c>
    </row>
    <row r="90" spans="1:25" ht="18" customHeight="1" x14ac:dyDescent="0.25"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25" s="39" customFormat="1" ht="21" customHeight="1" x14ac:dyDescent="0.25">
      <c r="A91" s="23" t="s">
        <v>100</v>
      </c>
    </row>
    <row r="93" spans="1:25" x14ac:dyDescent="0.25">
      <c r="C93" s="105" t="s">
        <v>102</v>
      </c>
      <c r="D93" s="106"/>
    </row>
    <row r="94" spans="1:25" x14ac:dyDescent="0.25">
      <c r="C94" s="93" t="s">
        <v>107</v>
      </c>
      <c r="D94" s="93" t="s">
        <v>103</v>
      </c>
      <c r="I94" s="6"/>
      <c r="J94" s="88" t="s">
        <v>8</v>
      </c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 spans="1:25" x14ac:dyDescent="0.25">
      <c r="A95" s="8" t="s">
        <v>104</v>
      </c>
      <c r="C95" s="7"/>
      <c r="D95" s="7"/>
      <c r="I95" s="6"/>
      <c r="J95" s="42">
        <v>0</v>
      </c>
      <c r="K95" s="42">
        <f>J95+1</f>
        <v>1</v>
      </c>
      <c r="L95" s="42">
        <f t="shared" ref="L95" si="61">K95+1</f>
        <v>2</v>
      </c>
      <c r="M95" s="42">
        <f t="shared" ref="M95" si="62">L95+1</f>
        <v>3</v>
      </c>
      <c r="N95" s="42">
        <f t="shared" ref="N95" si="63">M95+1</f>
        <v>4</v>
      </c>
      <c r="O95" s="42">
        <f t="shared" ref="O95" si="64">N95+1</f>
        <v>5</v>
      </c>
      <c r="P95" s="42">
        <f t="shared" ref="P95" si="65">O95+1</f>
        <v>6</v>
      </c>
      <c r="Q95" s="42">
        <f t="shared" ref="Q95" si="66">P95+1</f>
        <v>7</v>
      </c>
      <c r="R95" s="42">
        <f t="shared" ref="R95" si="67">Q95+1</f>
        <v>8</v>
      </c>
      <c r="S95" s="42">
        <f t="shared" ref="S95" si="68">R95+1</f>
        <v>9</v>
      </c>
      <c r="T95" s="42">
        <f t="shared" ref="T95" si="69">S95+1</f>
        <v>10</v>
      </c>
      <c r="U95" s="42">
        <f t="shared" ref="U95" si="70">T95+1</f>
        <v>11</v>
      </c>
      <c r="V95" s="42">
        <f t="shared" ref="V95" si="71">U95+1</f>
        <v>12</v>
      </c>
      <c r="W95" s="42">
        <f t="shared" ref="W95" si="72">V95+1</f>
        <v>13</v>
      </c>
      <c r="X95" s="42">
        <f t="shared" ref="X95" si="73">W95+1</f>
        <v>14</v>
      </c>
      <c r="Y95" s="42">
        <f t="shared" ref="Y95" si="74">X95+1</f>
        <v>15</v>
      </c>
    </row>
    <row r="96" spans="1:25" x14ac:dyDescent="0.25">
      <c r="A96" s="28" t="s">
        <v>79</v>
      </c>
      <c r="B96" s="6" t="s">
        <v>12</v>
      </c>
      <c r="C96" s="7">
        <f>SUM(J96:Y96)</f>
        <v>18051</v>
      </c>
      <c r="D96" s="7">
        <f>NPV($C$4,J96:Y96)</f>
        <v>15670.607950630832</v>
      </c>
      <c r="I96" s="6"/>
      <c r="J96" s="65">
        <f>J23+J19</f>
        <v>16401</v>
      </c>
      <c r="K96" s="65">
        <f t="shared" ref="K96:Y96" si="75">K23+K19</f>
        <v>110</v>
      </c>
      <c r="L96" s="65">
        <f t="shared" si="75"/>
        <v>110</v>
      </c>
      <c r="M96" s="65">
        <f t="shared" si="75"/>
        <v>110</v>
      </c>
      <c r="N96" s="65">
        <f t="shared" si="75"/>
        <v>110</v>
      </c>
      <c r="O96" s="65">
        <f t="shared" si="75"/>
        <v>110</v>
      </c>
      <c r="P96" s="65">
        <f t="shared" si="75"/>
        <v>110</v>
      </c>
      <c r="Q96" s="65">
        <f t="shared" si="75"/>
        <v>110</v>
      </c>
      <c r="R96" s="65">
        <f t="shared" si="75"/>
        <v>110</v>
      </c>
      <c r="S96" s="65">
        <f t="shared" si="75"/>
        <v>110</v>
      </c>
      <c r="T96" s="65">
        <f t="shared" si="75"/>
        <v>110</v>
      </c>
      <c r="U96" s="65">
        <f t="shared" si="75"/>
        <v>110</v>
      </c>
      <c r="V96" s="65">
        <f t="shared" si="75"/>
        <v>110</v>
      </c>
      <c r="W96" s="65">
        <f t="shared" si="75"/>
        <v>110</v>
      </c>
      <c r="X96" s="65">
        <f t="shared" si="75"/>
        <v>110</v>
      </c>
      <c r="Y96" s="65">
        <f t="shared" si="75"/>
        <v>110</v>
      </c>
    </row>
    <row r="97" spans="1:25" x14ac:dyDescent="0.25">
      <c r="A97" s="28" t="s">
        <v>80</v>
      </c>
      <c r="B97" s="6" t="s">
        <v>12</v>
      </c>
      <c r="C97" s="7">
        <f>SUM(J97:Y97)</f>
        <v>28610.296610169495</v>
      </c>
      <c r="D97" s="7">
        <f>NPV($C$4,J97:Y97)</f>
        <v>17223.857926105633</v>
      </c>
      <c r="I97" s="6"/>
      <c r="J97" s="65">
        <f>J65+J61</f>
        <v>10472.5</v>
      </c>
      <c r="K97" s="65">
        <f t="shared" ref="K97:Y97" si="76">K65+K61</f>
        <v>165</v>
      </c>
      <c r="L97" s="65">
        <f t="shared" si="76"/>
        <v>165</v>
      </c>
      <c r="M97" s="65">
        <f t="shared" si="76"/>
        <v>165</v>
      </c>
      <c r="N97" s="65">
        <f t="shared" si="76"/>
        <v>3377.8813559322034</v>
      </c>
      <c r="O97" s="65">
        <f t="shared" si="76"/>
        <v>2173.0508474576272</v>
      </c>
      <c r="P97" s="65">
        <f t="shared" si="76"/>
        <v>165</v>
      </c>
      <c r="Q97" s="65">
        <f t="shared" si="76"/>
        <v>165</v>
      </c>
      <c r="R97" s="65">
        <f t="shared" si="76"/>
        <v>3377.8813559322034</v>
      </c>
      <c r="S97" s="65">
        <f t="shared" si="76"/>
        <v>165</v>
      </c>
      <c r="T97" s="65">
        <f t="shared" si="76"/>
        <v>2173.0508474576272</v>
      </c>
      <c r="U97" s="65">
        <f t="shared" si="76"/>
        <v>165</v>
      </c>
      <c r="V97" s="65">
        <f t="shared" si="76"/>
        <v>3377.8813559322034</v>
      </c>
      <c r="W97" s="65">
        <f t="shared" si="76"/>
        <v>165</v>
      </c>
      <c r="X97" s="65">
        <f t="shared" si="76"/>
        <v>165</v>
      </c>
      <c r="Y97" s="65">
        <f t="shared" si="76"/>
        <v>2173.0508474576272</v>
      </c>
    </row>
    <row r="98" spans="1:25" x14ac:dyDescent="0.25">
      <c r="A98" s="6" t="s">
        <v>78</v>
      </c>
      <c r="B98" s="6" t="s">
        <v>12</v>
      </c>
      <c r="C98" s="14">
        <f>SUM(J98:Y98)</f>
        <v>10559.296610169491</v>
      </c>
      <c r="D98" s="14">
        <f>NPV($C$4,J98:Y98)</f>
        <v>1553.2499754747955</v>
      </c>
      <c r="I98" s="6"/>
      <c r="J98" s="64">
        <f>J97-J96</f>
        <v>-5928.5</v>
      </c>
      <c r="K98" s="64">
        <f>K97-K96</f>
        <v>55</v>
      </c>
      <c r="L98" s="64">
        <f t="shared" ref="L98:Y98" si="77">L97-L96</f>
        <v>55</v>
      </c>
      <c r="M98" s="64">
        <f t="shared" si="77"/>
        <v>55</v>
      </c>
      <c r="N98" s="64">
        <f t="shared" si="77"/>
        <v>3267.8813559322034</v>
      </c>
      <c r="O98" s="64">
        <f t="shared" si="77"/>
        <v>2063.0508474576272</v>
      </c>
      <c r="P98" s="64">
        <f t="shared" si="77"/>
        <v>55</v>
      </c>
      <c r="Q98" s="64">
        <f t="shared" si="77"/>
        <v>55</v>
      </c>
      <c r="R98" s="64">
        <f t="shared" si="77"/>
        <v>3267.8813559322034</v>
      </c>
      <c r="S98" s="64">
        <f t="shared" si="77"/>
        <v>55</v>
      </c>
      <c r="T98" s="64">
        <f t="shared" si="77"/>
        <v>2063.0508474576272</v>
      </c>
      <c r="U98" s="64">
        <f t="shared" si="77"/>
        <v>55</v>
      </c>
      <c r="V98" s="64">
        <f t="shared" si="77"/>
        <v>3267.8813559322034</v>
      </c>
      <c r="W98" s="64">
        <f t="shared" si="77"/>
        <v>55</v>
      </c>
      <c r="X98" s="64">
        <f t="shared" si="77"/>
        <v>55</v>
      </c>
      <c r="Y98" s="64">
        <f t="shared" si="77"/>
        <v>2063.0508474576272</v>
      </c>
    </row>
    <row r="99" spans="1:25" x14ac:dyDescent="0.25">
      <c r="B99" s="6" t="s">
        <v>11</v>
      </c>
      <c r="C99" s="3">
        <f>C98/C96</f>
        <v>0.58497017396097117</v>
      </c>
      <c r="D99" s="3">
        <f>D98/D96</f>
        <v>9.9118680038975018E-2</v>
      </c>
    </row>
    <row r="100" spans="1:25" x14ac:dyDescent="0.25">
      <c r="C100" s="4"/>
      <c r="D100" s="4"/>
    </row>
    <row r="101" spans="1:25" x14ac:dyDescent="0.25">
      <c r="A101" s="8" t="s">
        <v>105</v>
      </c>
      <c r="C101" s="7"/>
      <c r="D101" s="7"/>
      <c r="I101" s="6"/>
    </row>
    <row r="102" spans="1:25" x14ac:dyDescent="0.25">
      <c r="A102" s="28" t="s">
        <v>79</v>
      </c>
      <c r="B102" s="6" t="s">
        <v>30</v>
      </c>
      <c r="C102" s="7">
        <f>SUM(J102:Y102)</f>
        <v>111390.727146875</v>
      </c>
      <c r="D102" s="7">
        <f>NPV($C$4,J102:Y102)</f>
        <v>52049.068269214105</v>
      </c>
      <c r="I102" s="6"/>
      <c r="J102" s="6">
        <f t="shared" ref="J102:X102" si="78">J44</f>
        <v>0</v>
      </c>
      <c r="K102" s="6">
        <f t="shared" si="78"/>
        <v>7838.2551431249985</v>
      </c>
      <c r="L102" s="6">
        <f t="shared" si="78"/>
        <v>7779.3684764583322</v>
      </c>
      <c r="M102" s="6">
        <f t="shared" si="78"/>
        <v>7720.4818097916659</v>
      </c>
      <c r="N102" s="6">
        <f t="shared" si="78"/>
        <v>7661.5951431249996</v>
      </c>
      <c r="O102" s="6">
        <f t="shared" si="78"/>
        <v>7602.7084764583324</v>
      </c>
      <c r="P102" s="6">
        <f t="shared" si="78"/>
        <v>7543.8218097916651</v>
      </c>
      <c r="Q102" s="6">
        <f t="shared" si="78"/>
        <v>7484.9351431249997</v>
      </c>
      <c r="R102" s="6">
        <f t="shared" si="78"/>
        <v>7426.0484764583334</v>
      </c>
      <c r="S102" s="6">
        <f t="shared" si="78"/>
        <v>7367.1618097916671</v>
      </c>
      <c r="T102" s="6">
        <f t="shared" si="78"/>
        <v>7308.2751431250017</v>
      </c>
      <c r="U102" s="6">
        <f t="shared" si="78"/>
        <v>7249.3884764583345</v>
      </c>
      <c r="V102" s="6">
        <f t="shared" si="78"/>
        <v>7190.5018097916682</v>
      </c>
      <c r="W102" s="6">
        <f t="shared" si="78"/>
        <v>7131.6151431250009</v>
      </c>
      <c r="X102" s="6">
        <f t="shared" si="78"/>
        <v>7072.7284764583346</v>
      </c>
      <c r="Y102" s="6">
        <f t="shared" ref="Y102" si="79">Y44</f>
        <v>7013.8418097916674</v>
      </c>
    </row>
    <row r="103" spans="1:25" x14ac:dyDescent="0.25">
      <c r="A103" s="28" t="s">
        <v>80</v>
      </c>
      <c r="B103" s="6" t="s">
        <v>30</v>
      </c>
      <c r="C103" s="7">
        <f>SUM(J103:Y103)</f>
        <v>75664.030062500024</v>
      </c>
      <c r="D103" s="7">
        <f>NPV($C$4,J103:Y103)</f>
        <v>35579.971389120103</v>
      </c>
      <c r="I103" s="6"/>
      <c r="J103" s="6">
        <f>J86</f>
        <v>0</v>
      </c>
      <c r="K103" s="6">
        <f t="shared" ref="K103:X103" si="80">K86</f>
        <v>5456.4753375</v>
      </c>
      <c r="L103" s="6">
        <f t="shared" si="80"/>
        <v>5397.5886708333346</v>
      </c>
      <c r="M103" s="6">
        <f t="shared" si="80"/>
        <v>5338.7020041666683</v>
      </c>
      <c r="N103" s="6">
        <f t="shared" si="80"/>
        <v>5279.8153375000011</v>
      </c>
      <c r="O103" s="6">
        <f t="shared" si="80"/>
        <v>5220.9286708333348</v>
      </c>
      <c r="P103" s="6">
        <f t="shared" si="80"/>
        <v>5162.0420041666684</v>
      </c>
      <c r="Q103" s="6">
        <f t="shared" si="80"/>
        <v>5103.1553375000021</v>
      </c>
      <c r="R103" s="6">
        <f t="shared" si="80"/>
        <v>5044.2686708333349</v>
      </c>
      <c r="S103" s="6">
        <f t="shared" si="80"/>
        <v>4985.3820041666686</v>
      </c>
      <c r="T103" s="6">
        <f t="shared" si="80"/>
        <v>4926.4953375000023</v>
      </c>
      <c r="U103" s="6">
        <f t="shared" si="80"/>
        <v>4867.6086708333351</v>
      </c>
      <c r="V103" s="6">
        <f t="shared" si="80"/>
        <v>4808.7220041666706</v>
      </c>
      <c r="W103" s="6">
        <f t="shared" si="80"/>
        <v>4749.8353375000033</v>
      </c>
      <c r="X103" s="6">
        <f t="shared" si="80"/>
        <v>4690.9486708333352</v>
      </c>
      <c r="Y103" s="6">
        <f t="shared" ref="Y103" si="81">Y86</f>
        <v>4632.0620041666698</v>
      </c>
    </row>
    <row r="104" spans="1:25" x14ac:dyDescent="0.25">
      <c r="A104" s="6" t="s">
        <v>106</v>
      </c>
      <c r="B104" s="6" t="s">
        <v>30</v>
      </c>
      <c r="C104" s="14">
        <f>SUM(J104:Y104)</f>
        <v>35726.697084374966</v>
      </c>
      <c r="D104" s="14">
        <f>NPV($C$4,J104:Y104)</f>
        <v>16469.096880094006</v>
      </c>
      <c r="I104" s="6"/>
      <c r="J104" s="64">
        <f>J102-J103</f>
        <v>0</v>
      </c>
      <c r="K104" s="64">
        <f t="shared" ref="K104:X104" si="82">K102-K103</f>
        <v>2381.7798056249985</v>
      </c>
      <c r="L104" s="64">
        <f t="shared" si="82"/>
        <v>2381.7798056249976</v>
      </c>
      <c r="M104" s="64">
        <f t="shared" si="82"/>
        <v>2381.7798056249976</v>
      </c>
      <c r="N104" s="64">
        <f t="shared" si="82"/>
        <v>2381.7798056249985</v>
      </c>
      <c r="O104" s="64">
        <f t="shared" si="82"/>
        <v>2381.7798056249976</v>
      </c>
      <c r="P104" s="64">
        <f t="shared" si="82"/>
        <v>2381.7798056249967</v>
      </c>
      <c r="Q104" s="64">
        <f t="shared" si="82"/>
        <v>2381.7798056249976</v>
      </c>
      <c r="R104" s="64">
        <f t="shared" si="82"/>
        <v>2381.7798056249985</v>
      </c>
      <c r="S104" s="64">
        <f t="shared" si="82"/>
        <v>2381.7798056249985</v>
      </c>
      <c r="T104" s="64">
        <f t="shared" si="82"/>
        <v>2381.7798056249994</v>
      </c>
      <c r="U104" s="64">
        <f t="shared" si="82"/>
        <v>2381.7798056249994</v>
      </c>
      <c r="V104" s="64">
        <f t="shared" si="82"/>
        <v>2381.7798056249976</v>
      </c>
      <c r="W104" s="64">
        <f t="shared" si="82"/>
        <v>2381.7798056249976</v>
      </c>
      <c r="X104" s="64">
        <f t="shared" si="82"/>
        <v>2381.7798056249994</v>
      </c>
      <c r="Y104" s="64">
        <f t="shared" ref="Y104" si="83">Y102-Y103</f>
        <v>2381.7798056249976</v>
      </c>
    </row>
    <row r="105" spans="1:25" x14ac:dyDescent="0.25">
      <c r="B105" s="6" t="s">
        <v>11</v>
      </c>
      <c r="C105" s="66">
        <f>C104/C102</f>
        <v>0.32073313461063313</v>
      </c>
      <c r="D105" s="66">
        <f>D104/D102</f>
        <v>0.31641482600439019</v>
      </c>
      <c r="I105" s="6"/>
    </row>
    <row r="106" spans="1:25" x14ac:dyDescent="0.25">
      <c r="C106" s="4"/>
      <c r="D106" s="4"/>
      <c r="I106" s="6"/>
    </row>
    <row r="107" spans="1:25" x14ac:dyDescent="0.25">
      <c r="A107" s="8" t="s">
        <v>32</v>
      </c>
      <c r="C107" s="107" t="s">
        <v>111</v>
      </c>
      <c r="D107" s="108"/>
      <c r="E107" s="107" t="s">
        <v>108</v>
      </c>
      <c r="F107" s="108"/>
      <c r="I107" s="6"/>
    </row>
    <row r="108" spans="1:25" x14ac:dyDescent="0.25">
      <c r="A108" s="28" t="s">
        <v>79</v>
      </c>
      <c r="B108" s="6" t="s">
        <v>112</v>
      </c>
      <c r="C108" s="32">
        <f>C96/C102</f>
        <v>0.16205119099544732</v>
      </c>
      <c r="D108" s="62">
        <f>D96/D102</f>
        <v>0.30107374582725543</v>
      </c>
      <c r="E108" s="7">
        <f>C108*656</f>
        <v>106.30558129301345</v>
      </c>
      <c r="F108" s="7">
        <f>D108*656</f>
        <v>197.50437726267955</v>
      </c>
      <c r="I108" s="6"/>
    </row>
    <row r="109" spans="1:25" x14ac:dyDescent="0.25">
      <c r="A109" s="28" t="s">
        <v>80</v>
      </c>
      <c r="B109" s="6" t="s">
        <v>112</v>
      </c>
      <c r="C109" s="32">
        <f>C97/C103</f>
        <v>0.37812282251601997</v>
      </c>
      <c r="D109" s="62">
        <f>D97/D103</f>
        <v>0.48408858280792399</v>
      </c>
      <c r="E109" s="7">
        <f t="shared" ref="E109:E110" si="84">C109*656</f>
        <v>248.0485715705091</v>
      </c>
      <c r="F109" s="7">
        <f t="shared" ref="F109:F110" si="85">D109*656</f>
        <v>317.56211032199815</v>
      </c>
      <c r="I109" s="6"/>
    </row>
    <row r="110" spans="1:25" x14ac:dyDescent="0.25">
      <c r="A110" s="89" t="s">
        <v>109</v>
      </c>
      <c r="B110" s="6" t="s">
        <v>112</v>
      </c>
      <c r="C110" s="32">
        <f>C109-C108</f>
        <v>0.21607163152057265</v>
      </c>
      <c r="D110" s="21">
        <f>D109-D108</f>
        <v>0.18301483698066856</v>
      </c>
      <c r="E110" s="7">
        <f t="shared" si="84"/>
        <v>141.74299027749566</v>
      </c>
      <c r="F110" s="7">
        <f t="shared" si="85"/>
        <v>120.05773305931858</v>
      </c>
      <c r="H110" s="5"/>
      <c r="I110" s="6"/>
    </row>
    <row r="111" spans="1:25" x14ac:dyDescent="0.25">
      <c r="B111" s="6" t="s">
        <v>11</v>
      </c>
      <c r="C111" s="4">
        <f>C110/C108</f>
        <v>1.33335417156325</v>
      </c>
      <c r="D111" s="66">
        <f>D110/D108</f>
        <v>0.60787378347388499</v>
      </c>
      <c r="E111" s="44"/>
      <c r="I111" s="6"/>
    </row>
    <row r="112" spans="1:25" x14ac:dyDescent="0.25">
      <c r="C112" s="5"/>
      <c r="D112" s="5"/>
      <c r="I112" s="6"/>
    </row>
    <row r="113" spans="1:9" x14ac:dyDescent="0.25">
      <c r="A113" s="8" t="s">
        <v>75</v>
      </c>
      <c r="B113" s="90">
        <f>IRR(J98:Y98)</f>
        <v>0.13919505551209488</v>
      </c>
      <c r="I113" s="6"/>
    </row>
    <row r="114" spans="1:9" x14ac:dyDescent="0.25">
      <c r="I114" s="6"/>
    </row>
  </sheetData>
  <mergeCells count="5">
    <mergeCell ref="C93:D93"/>
    <mergeCell ref="C107:D107"/>
    <mergeCell ref="E107:F107"/>
    <mergeCell ref="E9:F9"/>
    <mergeCell ref="E51:F5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Niveau initial</vt:lpstr>
      <vt:lpstr>Niveau intermédiare</vt:lpstr>
      <vt:lpstr>Niveau avancé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Le Fol</dc:creator>
  <cp:lastModifiedBy>Yoann Le Fol</cp:lastModifiedBy>
  <dcterms:created xsi:type="dcterms:W3CDTF">2021-07-26T16:39:14Z</dcterms:created>
  <dcterms:modified xsi:type="dcterms:W3CDTF">2021-10-01T09:45:07Z</dcterms:modified>
</cp:coreProperties>
</file>