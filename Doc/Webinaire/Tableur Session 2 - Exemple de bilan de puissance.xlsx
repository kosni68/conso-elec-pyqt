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priétaire\Documents\Travail\1. Victron\1. Internal\Formation\_Webinaires\session 2 bilan de puissance et convertisseurs\"/>
    </mc:Choice>
  </mc:AlternateContent>
  <xr:revisionPtr revIDLastSave="0" documentId="13_ncr:1_{C035B561-EB5A-464E-AB4A-E40F93D1F62F}" xr6:coauthVersionLast="45" xr6:coauthVersionMax="45" xr10:uidLastSave="{00000000-0000-0000-0000-000000000000}"/>
  <bookViews>
    <workbookView xWindow="-108" yWindow="-108" windowWidth="23256" windowHeight="12576" xr2:uid="{7A841E2D-7A2F-44BA-8CA5-8A06A331055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6" i="1" l="1"/>
  <c r="F12" i="1"/>
  <c r="F5" i="1"/>
  <c r="F6" i="1"/>
  <c r="F7" i="1"/>
  <c r="F8" i="1"/>
  <c r="F9" i="1"/>
  <c r="F10" i="1"/>
  <c r="F11" i="1"/>
  <c r="F4" i="1"/>
  <c r="I12" i="1" l="1"/>
  <c r="I5" i="1"/>
  <c r="I6" i="1"/>
  <c r="I7" i="1"/>
  <c r="I8" i="1"/>
  <c r="I9" i="1"/>
  <c r="I10" i="1"/>
  <c r="I11" i="1"/>
  <c r="I4" i="1"/>
  <c r="G16" i="1"/>
  <c r="G12" i="1"/>
  <c r="G5" i="1"/>
  <c r="G6" i="1"/>
  <c r="G7" i="1"/>
  <c r="G8" i="1"/>
  <c r="G9" i="1"/>
  <c r="G10" i="1"/>
  <c r="G11" i="1"/>
  <c r="G4" i="1"/>
</calcChain>
</file>

<file path=xl/sharedStrings.xml><?xml version="1.0" encoding="utf-8"?>
<sst xmlns="http://schemas.openxmlformats.org/spreadsheetml/2006/main" count="29" uniqueCount="25">
  <si>
    <t>Charges</t>
  </si>
  <si>
    <t>Printer Epson LX-300-II 220V</t>
  </si>
  <si>
    <t>Scanner HP Scanjet G3010</t>
  </si>
  <si>
    <t>Ordinateur de bureau</t>
  </si>
  <si>
    <t>Borne wifi</t>
  </si>
  <si>
    <t>Routeur</t>
  </si>
  <si>
    <t>Unités :</t>
  </si>
  <si>
    <t>Watts</t>
  </si>
  <si>
    <t>Puissance de pointe</t>
  </si>
  <si>
    <t>Quantités</t>
  </si>
  <si>
    <t>Total :</t>
  </si>
  <si>
    <t>Durée de fonctionnement</t>
  </si>
  <si>
    <t>Consommation journalière totale</t>
  </si>
  <si>
    <t>Watt-heures</t>
  </si>
  <si>
    <t>Puissance continue</t>
  </si>
  <si>
    <t>Puissance continue totale</t>
  </si>
  <si>
    <r>
      <rPr>
        <u/>
        <sz val="11"/>
        <color theme="1"/>
        <rFont val="Calibri"/>
        <family val="2"/>
        <scheme val="minor"/>
      </rPr>
      <t xml:space="preserve">Puissance totale de pointe : </t>
    </r>
    <r>
      <rPr>
        <sz val="11"/>
        <color theme="1"/>
        <rFont val="Calibri"/>
        <family val="2"/>
        <scheme val="minor"/>
      </rPr>
      <t xml:space="preserve">
Permet de vérifier que la puissance totale de pointe demandée par les charges est bien inférieure à la puissance de pointe du convertisseur (Phoenix) ou convertisseur-chargeur (Multiplus, Quattro).</t>
    </r>
  </si>
  <si>
    <t>Coefficient de simultanéité :</t>
  </si>
  <si>
    <r>
      <rPr>
        <u/>
        <sz val="11"/>
        <color theme="1"/>
        <rFont val="Calibri"/>
        <family val="2"/>
        <scheme val="minor"/>
      </rPr>
      <t>Puissance continue totale :</t>
    </r>
    <r>
      <rPr>
        <sz val="11"/>
        <color theme="1"/>
        <rFont val="Calibri"/>
        <family val="2"/>
        <scheme val="minor"/>
      </rPr>
      <t xml:space="preserve"> 
Permet de déterminer la puissance continue nécessaire du convertisseur (Phoenix) ou convertisseur-chargeur (Multiplus, Quattro).</t>
    </r>
  </si>
  <si>
    <t>heures</t>
  </si>
  <si>
    <t>Tube LED - grand modèle (bureau)</t>
  </si>
  <si>
    <t>Tube LED - petit modèle (bureau)</t>
  </si>
  <si>
    <t>Tube LED - grand modèle (exterieur)</t>
  </si>
  <si>
    <t>Puissance de pointe  totale</t>
  </si>
  <si>
    <r>
      <t xml:space="preserve">Coefficient de simultanéité :
</t>
    </r>
    <r>
      <rPr>
        <sz val="11"/>
        <color theme="1"/>
        <rFont val="Calibri"/>
        <family val="2"/>
        <scheme val="minor"/>
      </rPr>
      <t>Permet de prendre en compte la probabilité que le charges démarrent et fonctionnent simultanéments.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</si>
</sst>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5" tint="0.39997558519241921"/>
      </left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3" fillId="4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9" fontId="0" fillId="2" borderId="1" xfId="1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0" fillId="8" borderId="6" xfId="0" applyFill="1" applyBorder="1" applyAlignment="1">
      <alignment horizontal="left" vertical="center" wrapText="1"/>
    </xf>
    <xf numFmtId="0" fontId="0" fillId="9" borderId="5" xfId="0" applyFill="1" applyBorder="1" applyAlignment="1">
      <alignment horizontal="left" vertical="center" wrapText="1"/>
    </xf>
    <xf numFmtId="0" fontId="4" fillId="10" borderId="7" xfId="0" applyFont="1" applyFill="1" applyBorder="1" applyAlignment="1">
      <alignment horizontal="left" vertical="center" wrapText="1"/>
    </xf>
    <xf numFmtId="1" fontId="2" fillId="7" borderId="1" xfId="0" applyNumberFormat="1" applyFont="1" applyFill="1" applyBorder="1" applyAlignment="1">
      <alignment horizontal="center" vertical="center"/>
    </xf>
    <xf numFmtId="1" fontId="2" fillId="7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5443</xdr:colOff>
      <xdr:row>16</xdr:row>
      <xdr:rowOff>32657</xdr:rowOff>
    </xdr:from>
    <xdr:to>
      <xdr:col>5</xdr:col>
      <xdr:colOff>223157</xdr:colOff>
      <xdr:row>18</xdr:row>
      <xdr:rowOff>5443</xdr:rowOff>
    </xdr:to>
    <xdr:cxnSp macro="">
      <xdr:nvCxnSpPr>
        <xdr:cNvPr id="3" name="Connecteur droit avec flèche 2">
          <a:extLst>
            <a:ext uri="{FF2B5EF4-FFF2-40B4-BE49-F238E27FC236}">
              <a16:creationId xmlns:a16="http://schemas.microsoft.com/office/drawing/2014/main" id="{170A3DD6-AEC5-4364-9AEB-18F74EF5A4B1}"/>
            </a:ext>
          </a:extLst>
        </xdr:cNvPr>
        <xdr:cNvCxnSpPr/>
      </xdr:nvCxnSpPr>
      <xdr:spPr>
        <a:xfrm flipV="1">
          <a:off x="5372100" y="3434443"/>
          <a:ext cx="217714" cy="342900"/>
        </a:xfrm>
        <a:prstGeom prst="straightConnector1">
          <a:avLst/>
        </a:prstGeom>
        <a:ln>
          <a:solidFill>
            <a:schemeClr val="accent6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604157</xdr:colOff>
      <xdr:row>16</xdr:row>
      <xdr:rowOff>32658</xdr:rowOff>
    </xdr:from>
    <xdr:to>
      <xdr:col>7</xdr:col>
      <xdr:colOff>5443</xdr:colOff>
      <xdr:row>18</xdr:row>
      <xdr:rowOff>5443</xdr:rowOff>
    </xdr:to>
    <xdr:cxnSp macro="">
      <xdr:nvCxnSpPr>
        <xdr:cNvPr id="5" name="Connecteur droit avec flèche 4">
          <a:extLst>
            <a:ext uri="{FF2B5EF4-FFF2-40B4-BE49-F238E27FC236}">
              <a16:creationId xmlns:a16="http://schemas.microsoft.com/office/drawing/2014/main" id="{637F361F-4EEB-4058-BDBA-DFF6A2AD4314}"/>
            </a:ext>
          </a:extLst>
        </xdr:cNvPr>
        <xdr:cNvCxnSpPr/>
      </xdr:nvCxnSpPr>
      <xdr:spPr>
        <a:xfrm flipH="1" flipV="1">
          <a:off x="6879771" y="3434444"/>
          <a:ext cx="310243" cy="3428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10886</xdr:colOff>
      <xdr:row>13</xdr:row>
      <xdr:rowOff>185057</xdr:rowOff>
    </xdr:from>
    <xdr:to>
      <xdr:col>2</xdr:col>
      <xdr:colOff>892628</xdr:colOff>
      <xdr:row>14</xdr:row>
      <xdr:rowOff>136072</xdr:rowOff>
    </xdr:to>
    <xdr:cxnSp macro="">
      <xdr:nvCxnSpPr>
        <xdr:cNvPr id="7" name="Connecteur droit avec flèche 6">
          <a:extLst>
            <a:ext uri="{FF2B5EF4-FFF2-40B4-BE49-F238E27FC236}">
              <a16:creationId xmlns:a16="http://schemas.microsoft.com/office/drawing/2014/main" id="{280B3AFC-D389-4B11-B22F-03EC9A801684}"/>
            </a:ext>
          </a:extLst>
        </xdr:cNvPr>
        <xdr:cNvCxnSpPr/>
      </xdr:nvCxnSpPr>
      <xdr:spPr>
        <a:xfrm flipV="1">
          <a:off x="2650672" y="3031671"/>
          <a:ext cx="881742" cy="136072"/>
        </a:xfrm>
        <a:prstGeom prst="straightConnector1">
          <a:avLst/>
        </a:prstGeom>
        <a:ln>
          <a:solidFill>
            <a:schemeClr val="accent2">
              <a:lumMod val="60000"/>
              <a:lumOff val="40000"/>
            </a:schemeClr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CD13E-D799-4921-8E45-5C96464B5F08}">
  <dimension ref="B2:J23"/>
  <sheetViews>
    <sheetView showGridLines="0" tabSelected="1" zoomScale="115" zoomScaleNormal="115" workbookViewId="0">
      <selection activeCell="J9" sqref="J9"/>
    </sheetView>
  </sheetViews>
  <sheetFormatPr baseColWidth="10" defaultRowHeight="14.4" x14ac:dyDescent="0.3"/>
  <cols>
    <col min="1" max="1" width="2.44140625" style="2" customWidth="1"/>
    <col min="2" max="2" width="36" style="2" bestFit="1" customWidth="1"/>
    <col min="3" max="8" width="15.6640625" style="3" customWidth="1"/>
    <col min="9" max="9" width="15.6640625" style="2" customWidth="1"/>
    <col min="10" max="16384" width="11.5546875" style="2"/>
  </cols>
  <sheetData>
    <row r="2" spans="2:9" s="4" customFormat="1" ht="49.2" customHeight="1" x14ac:dyDescent="0.3">
      <c r="B2" s="5" t="s">
        <v>0</v>
      </c>
      <c r="C2" s="1" t="s">
        <v>9</v>
      </c>
      <c r="D2" s="1" t="s">
        <v>14</v>
      </c>
      <c r="E2" s="1" t="s">
        <v>8</v>
      </c>
      <c r="F2" s="1" t="s">
        <v>15</v>
      </c>
      <c r="G2" s="1" t="s">
        <v>23</v>
      </c>
      <c r="H2" s="1" t="s">
        <v>11</v>
      </c>
      <c r="I2" s="1" t="s">
        <v>12</v>
      </c>
    </row>
    <row r="3" spans="2:9" x14ac:dyDescent="0.3">
      <c r="B3" s="6" t="s">
        <v>6</v>
      </c>
      <c r="C3" s="7"/>
      <c r="D3" s="7" t="s">
        <v>7</v>
      </c>
      <c r="E3" s="7" t="s">
        <v>7</v>
      </c>
      <c r="F3" s="7" t="s">
        <v>7</v>
      </c>
      <c r="G3" s="7" t="s">
        <v>7</v>
      </c>
      <c r="H3" s="7" t="s">
        <v>19</v>
      </c>
      <c r="I3" s="7" t="s">
        <v>13</v>
      </c>
    </row>
    <row r="4" spans="2:9" x14ac:dyDescent="0.3">
      <c r="B4" s="8" t="s">
        <v>20</v>
      </c>
      <c r="C4" s="9">
        <v>10</v>
      </c>
      <c r="D4" s="9">
        <v>36</v>
      </c>
      <c r="E4" s="9">
        <v>36</v>
      </c>
      <c r="F4" s="17">
        <f>C4*D4</f>
        <v>360</v>
      </c>
      <c r="G4" s="17">
        <f>C4*E4</f>
        <v>360</v>
      </c>
      <c r="H4" s="17">
        <v>8</v>
      </c>
      <c r="I4" s="17">
        <f>C4*D4*H4</f>
        <v>2880</v>
      </c>
    </row>
    <row r="5" spans="2:9" x14ac:dyDescent="0.3">
      <c r="B5" s="8" t="s">
        <v>21</v>
      </c>
      <c r="C5" s="9">
        <v>8</v>
      </c>
      <c r="D5" s="9">
        <v>18</v>
      </c>
      <c r="E5" s="9">
        <v>18</v>
      </c>
      <c r="F5" s="17">
        <f t="shared" ref="F5:F11" si="0">C5*D5</f>
        <v>144</v>
      </c>
      <c r="G5" s="17">
        <f t="shared" ref="G5:G11" si="1">C5*E5</f>
        <v>144</v>
      </c>
      <c r="H5" s="17">
        <v>8</v>
      </c>
      <c r="I5" s="17">
        <f t="shared" ref="I5:I11" si="2">C5*D5*H5</f>
        <v>1152</v>
      </c>
    </row>
    <row r="6" spans="2:9" x14ac:dyDescent="0.3">
      <c r="B6" s="8" t="s">
        <v>22</v>
      </c>
      <c r="C6" s="9">
        <v>4</v>
      </c>
      <c r="D6" s="9">
        <v>36</v>
      </c>
      <c r="E6" s="9">
        <v>36</v>
      </c>
      <c r="F6" s="17">
        <f t="shared" si="0"/>
        <v>144</v>
      </c>
      <c r="G6" s="17">
        <f t="shared" si="1"/>
        <v>144</v>
      </c>
      <c r="H6" s="17">
        <v>10</v>
      </c>
      <c r="I6" s="17">
        <f t="shared" si="2"/>
        <v>1440</v>
      </c>
    </row>
    <row r="7" spans="2:9" x14ac:dyDescent="0.3">
      <c r="B7" s="8" t="s">
        <v>1</v>
      </c>
      <c r="C7" s="9">
        <v>2</v>
      </c>
      <c r="D7" s="9">
        <v>23</v>
      </c>
      <c r="E7" s="9">
        <v>168</v>
      </c>
      <c r="F7" s="17">
        <f t="shared" si="0"/>
        <v>46</v>
      </c>
      <c r="G7" s="17">
        <f t="shared" si="1"/>
        <v>336</v>
      </c>
      <c r="H7" s="17">
        <v>2</v>
      </c>
      <c r="I7" s="17">
        <f t="shared" si="2"/>
        <v>92</v>
      </c>
    </row>
    <row r="8" spans="2:9" x14ac:dyDescent="0.3">
      <c r="B8" s="8" t="s">
        <v>2</v>
      </c>
      <c r="C8" s="9">
        <v>1</v>
      </c>
      <c r="D8" s="9">
        <v>21</v>
      </c>
      <c r="E8" s="9">
        <v>35</v>
      </c>
      <c r="F8" s="17">
        <f t="shared" si="0"/>
        <v>21</v>
      </c>
      <c r="G8" s="17">
        <f t="shared" si="1"/>
        <v>35</v>
      </c>
      <c r="H8" s="17">
        <v>0.5</v>
      </c>
      <c r="I8" s="17">
        <f t="shared" si="2"/>
        <v>10.5</v>
      </c>
    </row>
    <row r="9" spans="2:9" x14ac:dyDescent="0.3">
      <c r="B9" s="8" t="s">
        <v>3</v>
      </c>
      <c r="C9" s="9">
        <v>4</v>
      </c>
      <c r="D9" s="9">
        <v>120</v>
      </c>
      <c r="E9" s="9">
        <v>120</v>
      </c>
      <c r="F9" s="17">
        <f t="shared" si="0"/>
        <v>480</v>
      </c>
      <c r="G9" s="17">
        <f t="shared" si="1"/>
        <v>480</v>
      </c>
      <c r="H9" s="17">
        <v>7</v>
      </c>
      <c r="I9" s="17">
        <f t="shared" si="2"/>
        <v>3360</v>
      </c>
    </row>
    <row r="10" spans="2:9" x14ac:dyDescent="0.3">
      <c r="B10" s="8" t="s">
        <v>4</v>
      </c>
      <c r="C10" s="9">
        <v>1</v>
      </c>
      <c r="D10" s="9">
        <v>10</v>
      </c>
      <c r="E10" s="9">
        <v>10</v>
      </c>
      <c r="F10" s="17">
        <f t="shared" si="0"/>
        <v>10</v>
      </c>
      <c r="G10" s="17">
        <f t="shared" si="1"/>
        <v>10</v>
      </c>
      <c r="H10" s="17">
        <v>24</v>
      </c>
      <c r="I10" s="17">
        <f t="shared" si="2"/>
        <v>240</v>
      </c>
    </row>
    <row r="11" spans="2:9" x14ac:dyDescent="0.3">
      <c r="B11" s="8" t="s">
        <v>5</v>
      </c>
      <c r="C11" s="9">
        <v>1</v>
      </c>
      <c r="D11" s="9">
        <v>10</v>
      </c>
      <c r="E11" s="9">
        <v>10</v>
      </c>
      <c r="F11" s="17">
        <f t="shared" si="0"/>
        <v>10</v>
      </c>
      <c r="G11" s="17">
        <f t="shared" si="1"/>
        <v>10</v>
      </c>
      <c r="H11" s="17">
        <v>24</v>
      </c>
      <c r="I11" s="17">
        <f t="shared" si="2"/>
        <v>240</v>
      </c>
    </row>
    <row r="12" spans="2:9" s="10" customFormat="1" x14ac:dyDescent="0.3">
      <c r="B12" s="11" t="s">
        <v>10</v>
      </c>
      <c r="C12" s="14"/>
      <c r="D12" s="15"/>
      <c r="E12" s="16"/>
      <c r="F12" s="19">
        <f>SUM(F4:F11)</f>
        <v>1215</v>
      </c>
      <c r="G12" s="19">
        <f>SUM(G4:G11)</f>
        <v>1519</v>
      </c>
      <c r="H12" s="12"/>
      <c r="I12" s="23">
        <f>SUM(I4:I11)</f>
        <v>9414.5</v>
      </c>
    </row>
    <row r="14" spans="2:9" x14ac:dyDescent="0.3">
      <c r="B14" s="22" t="s">
        <v>24</v>
      </c>
      <c r="D14" s="13" t="s">
        <v>17</v>
      </c>
      <c r="E14" s="13"/>
      <c r="F14" s="18">
        <v>0.8</v>
      </c>
      <c r="G14" s="18">
        <v>0.8</v>
      </c>
    </row>
    <row r="15" spans="2:9" ht="14.4" customHeight="1" x14ac:dyDescent="0.3">
      <c r="B15" s="22"/>
    </row>
    <row r="16" spans="2:9" x14ac:dyDescent="0.3">
      <c r="B16" s="22"/>
      <c r="E16" s="11" t="s">
        <v>10</v>
      </c>
      <c r="F16" s="24">
        <f>F12*F14</f>
        <v>972</v>
      </c>
      <c r="G16" s="24">
        <f>G12*G14</f>
        <v>1215.2</v>
      </c>
    </row>
    <row r="17" spans="2:10" x14ac:dyDescent="0.3">
      <c r="B17" s="22"/>
      <c r="F17" s="2"/>
      <c r="G17" s="2"/>
      <c r="H17" s="2"/>
    </row>
    <row r="19" spans="2:10" ht="14.4" customHeight="1" x14ac:dyDescent="0.3">
      <c r="C19" s="20" t="s">
        <v>18</v>
      </c>
      <c r="D19" s="20"/>
      <c r="E19" s="20"/>
      <c r="F19" s="2"/>
      <c r="H19" s="21" t="s">
        <v>16</v>
      </c>
      <c r="I19" s="21"/>
      <c r="J19" s="21"/>
    </row>
    <row r="20" spans="2:10" x14ac:dyDescent="0.3">
      <c r="C20" s="20"/>
      <c r="D20" s="20"/>
      <c r="E20" s="20"/>
      <c r="F20" s="2"/>
      <c r="H20" s="21"/>
      <c r="I20" s="21"/>
      <c r="J20" s="21"/>
    </row>
    <row r="21" spans="2:10" x14ac:dyDescent="0.3">
      <c r="C21" s="20"/>
      <c r="D21" s="20"/>
      <c r="E21" s="20"/>
      <c r="F21" s="2"/>
      <c r="H21" s="21"/>
      <c r="I21" s="21"/>
      <c r="J21" s="21"/>
    </row>
    <row r="22" spans="2:10" x14ac:dyDescent="0.3">
      <c r="C22" s="20"/>
      <c r="D22" s="20"/>
      <c r="E22" s="20"/>
      <c r="H22" s="21"/>
      <c r="I22" s="21"/>
      <c r="J22" s="21"/>
    </row>
    <row r="23" spans="2:10" x14ac:dyDescent="0.3">
      <c r="C23" s="20"/>
      <c r="D23" s="20"/>
      <c r="E23" s="20"/>
      <c r="H23" s="21"/>
      <c r="I23" s="21"/>
      <c r="J23" s="21"/>
    </row>
  </sheetData>
  <mergeCells count="5">
    <mergeCell ref="B14:B17"/>
    <mergeCell ref="D14:E14"/>
    <mergeCell ref="C12:E12"/>
    <mergeCell ref="C19:E23"/>
    <mergeCell ref="H19:J2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Propriétaire</dc:creator>
  <cp:lastModifiedBy>Propriétaire</cp:lastModifiedBy>
  <dcterms:created xsi:type="dcterms:W3CDTF">2020-04-16T09:29:09Z</dcterms:created>
  <dcterms:modified xsi:type="dcterms:W3CDTF">2020-04-16T20:25:21Z</dcterms:modified>
</cp:coreProperties>
</file>