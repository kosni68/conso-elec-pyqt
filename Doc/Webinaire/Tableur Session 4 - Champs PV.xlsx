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priétaire\Documents\Travail\1. Victron\1. Internal\Formation\_Webinaires\Session 4. Régulateurs de charge\"/>
    </mc:Choice>
  </mc:AlternateContent>
  <xr:revisionPtr revIDLastSave="0" documentId="13_ncr:1_{15BB858B-84E5-41E6-A219-FF5A228CAB66}" xr6:coauthVersionLast="45" xr6:coauthVersionMax="45" xr10:uidLastSave="{00000000-0000-0000-0000-000000000000}"/>
  <bookViews>
    <workbookView xWindow="0" yWindow="3396" windowWidth="17280" windowHeight="8964" xr2:uid="{7A841E2D-7A2F-44BA-8CA5-8A06A33105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5" i="1" l="1"/>
  <c r="D52" i="1"/>
  <c r="D49" i="1"/>
  <c r="D26" i="1" l="1"/>
  <c r="F7" i="1" l="1"/>
  <c r="F8" i="1"/>
  <c r="F9" i="1"/>
  <c r="F10" i="1"/>
  <c r="F11" i="1"/>
  <c r="F12" i="1"/>
  <c r="F13" i="1"/>
  <c r="F6" i="1"/>
  <c r="F14" i="1" l="1"/>
  <c r="F18" i="1" s="1"/>
  <c r="I7" i="1"/>
  <c r="I8" i="1"/>
  <c r="I9" i="1"/>
  <c r="I10" i="1"/>
  <c r="I11" i="1"/>
  <c r="I12" i="1"/>
  <c r="I13" i="1"/>
  <c r="I6" i="1"/>
  <c r="G7" i="1"/>
  <c r="G8" i="1"/>
  <c r="G9" i="1"/>
  <c r="G10" i="1"/>
  <c r="G11" i="1"/>
  <c r="G12" i="1"/>
  <c r="G13" i="1"/>
  <c r="G6" i="1"/>
  <c r="G14" i="1" l="1"/>
  <c r="G18" i="1" s="1"/>
  <c r="I14" i="1"/>
  <c r="D31" i="1" s="1"/>
  <c r="D32" i="1" s="1"/>
  <c r="D43" i="1" l="1"/>
  <c r="D44" i="1" s="1"/>
  <c r="D35" i="1"/>
  <c r="D36" i="1" s="1"/>
  <c r="D39" i="1"/>
  <c r="D40" i="1" s="1"/>
</calcChain>
</file>

<file path=xl/sharedStrings.xml><?xml version="1.0" encoding="utf-8"?>
<sst xmlns="http://schemas.openxmlformats.org/spreadsheetml/2006/main" count="87" uniqueCount="70">
  <si>
    <t>Charges</t>
  </si>
  <si>
    <t>Printer Epson LX-300-II 220V</t>
  </si>
  <si>
    <t>Scanner HP Scanjet G3010</t>
  </si>
  <si>
    <t>Ordinateur de bureau</t>
  </si>
  <si>
    <t>Borne wifi</t>
  </si>
  <si>
    <t>Routeur</t>
  </si>
  <si>
    <t>Unités :</t>
  </si>
  <si>
    <t>Watts</t>
  </si>
  <si>
    <t>Puissance de pointe</t>
  </si>
  <si>
    <t>Quantités</t>
  </si>
  <si>
    <t>Total :</t>
  </si>
  <si>
    <t>Durée de fonctionnement</t>
  </si>
  <si>
    <t>Consommation journalière totale</t>
  </si>
  <si>
    <t>Watt-heures</t>
  </si>
  <si>
    <t>Puissance continue</t>
  </si>
  <si>
    <t>Puissance continue totale</t>
  </si>
  <si>
    <t>Coefficient de simultanéité :</t>
  </si>
  <si>
    <t>heures</t>
  </si>
  <si>
    <t>Tube LED - grand modèle (bureau)</t>
  </si>
  <si>
    <t>Tube LED - petit modèle (bureau)</t>
  </si>
  <si>
    <t>Tube LED - grand modèle (exterieur)</t>
  </si>
  <si>
    <t>Puissance de pointe  totale</t>
  </si>
  <si>
    <t>Bilan de puissance</t>
  </si>
  <si>
    <t>Stockage</t>
  </si>
  <si>
    <t>Tension du système</t>
  </si>
  <si>
    <t>Jours d'autonomie</t>
  </si>
  <si>
    <t>jours (J)</t>
  </si>
  <si>
    <t>volts (V)</t>
  </si>
  <si>
    <t>Profondeur de décharge max</t>
  </si>
  <si>
    <t>Capacité du banc de batteries</t>
  </si>
  <si>
    <t>Watt-heures (Wh)</t>
  </si>
  <si>
    <t>Amprères-heures (Ah)</t>
  </si>
  <si>
    <t>Courant de décharge maximum</t>
  </si>
  <si>
    <t>Courant de charge maximum</t>
  </si>
  <si>
    <t>Puissance de charge maximum</t>
  </si>
  <si>
    <t>Ampères</t>
  </si>
  <si>
    <t>Courant de charge minimum</t>
  </si>
  <si>
    <t>Puissance de charge minimum</t>
  </si>
  <si>
    <t>Type de batteries</t>
  </si>
  <si>
    <t>-</t>
  </si>
  <si>
    <t>Puissance de décharge maximum</t>
  </si>
  <si>
    <t>% Ah stockage</t>
  </si>
  <si>
    <t>Gel</t>
  </si>
  <si>
    <t>pourcent (%)</t>
  </si>
  <si>
    <t xml:space="preserve">Nombre de batteries en séries </t>
  </si>
  <si>
    <t>#</t>
  </si>
  <si>
    <t xml:space="preserve"># </t>
  </si>
  <si>
    <t>Capacité totale du banc de batteries</t>
  </si>
  <si>
    <t>Tension unitaire de la batterie</t>
  </si>
  <si>
    <t>Dépend de la technologie de batterie (voir présentation)</t>
  </si>
  <si>
    <t>unités</t>
  </si>
  <si>
    <t>2V ou 12V pour les batteries plomb (parfois 48V pour le lithium)</t>
  </si>
  <si>
    <t>12, 24 ou 48V (voir webinaire 2)</t>
  </si>
  <si>
    <t>Puissance continue minimum du convertisseur</t>
  </si>
  <si>
    <t>Puissance de pointe minimum du convertisseur</t>
  </si>
  <si>
    <t>Conseillé : 20% (voir webinaire 3)</t>
  </si>
  <si>
    <t>Conseillé : 10% (vori webinaire 3)</t>
  </si>
  <si>
    <t>Irradiation journalière</t>
  </si>
  <si>
    <t>Wh/m²/J</t>
  </si>
  <si>
    <t>Rendement du système</t>
  </si>
  <si>
    <t>%</t>
  </si>
  <si>
    <t>Puissance du champs solaire</t>
  </si>
  <si>
    <t>Watts-crêtes</t>
  </si>
  <si>
    <t>Watt-heures/jour</t>
  </si>
  <si>
    <t>Rendement des panneaux</t>
  </si>
  <si>
    <t>A</t>
  </si>
  <si>
    <t>Champs PV</t>
  </si>
  <si>
    <t>Courant de charge des panneaux</t>
  </si>
  <si>
    <t>à estimer selon les conditions locales (généralement 80 à 90%)</t>
  </si>
  <si>
    <t>vérifier qu'il est bien inférieur au courant de charge maximum acceptable pour les batteries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</si>
</sst>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2" borderId="1" xfId="1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1" fontId="2" fillId="7" borderId="1" xfId="0" applyNumberFormat="1" applyFont="1" applyFill="1" applyBorder="1" applyAlignment="1">
      <alignment horizontal="center" vertical="center"/>
    </xf>
    <xf numFmtId="1" fontId="2" fillId="7" borderId="1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5" xfId="0" applyBorder="1" applyAlignment="1">
      <alignment vertical="center"/>
    </xf>
    <xf numFmtId="1" fontId="0" fillId="2" borderId="5" xfId="0" applyNumberFormat="1" applyFill="1" applyBorder="1" applyAlignment="1">
      <alignment horizontal="center" vertical="center"/>
    </xf>
    <xf numFmtId="9" fontId="0" fillId="2" borderId="5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1" fontId="0" fillId="6" borderId="5" xfId="0" applyNumberFormat="1" applyFill="1" applyBorder="1" applyAlignment="1">
      <alignment horizontal="center" vertical="center"/>
    </xf>
    <xf numFmtId="1" fontId="0" fillId="0" borderId="5" xfId="0" applyNumberForma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6" fillId="0" borderId="5" xfId="0" quotePrefix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CD13E-D799-4921-8E45-5C96464B5F08}">
  <dimension ref="B2:I55"/>
  <sheetViews>
    <sheetView showGridLines="0" tabSelected="1" topLeftCell="A46" zoomScale="115" zoomScaleNormal="115" workbookViewId="0">
      <selection activeCell="E56" sqref="E56"/>
    </sheetView>
  </sheetViews>
  <sheetFormatPr baseColWidth="10" defaultRowHeight="14.4" x14ac:dyDescent="0.3"/>
  <cols>
    <col min="1" max="1" width="2.44140625" style="2" customWidth="1"/>
    <col min="2" max="2" width="36" style="2" bestFit="1" customWidth="1"/>
    <col min="3" max="8" width="15.6640625" style="3" customWidth="1"/>
    <col min="9" max="9" width="15.6640625" style="2" customWidth="1"/>
    <col min="10" max="16384" width="11.5546875" style="2"/>
  </cols>
  <sheetData>
    <row r="2" spans="2:9" x14ac:dyDescent="0.3">
      <c r="B2" s="18" t="s">
        <v>22</v>
      </c>
    </row>
    <row r="4" spans="2:9" s="4" customFormat="1" ht="49.2" customHeight="1" x14ac:dyDescent="0.3">
      <c r="B4" s="5" t="s">
        <v>0</v>
      </c>
      <c r="C4" s="1" t="s">
        <v>9</v>
      </c>
      <c r="D4" s="1" t="s">
        <v>14</v>
      </c>
      <c r="E4" s="1" t="s">
        <v>8</v>
      </c>
      <c r="F4" s="1" t="s">
        <v>15</v>
      </c>
      <c r="G4" s="1" t="s">
        <v>21</v>
      </c>
      <c r="H4" s="1" t="s">
        <v>11</v>
      </c>
      <c r="I4" s="1" t="s">
        <v>12</v>
      </c>
    </row>
    <row r="5" spans="2:9" x14ac:dyDescent="0.3">
      <c r="B5" s="6" t="s">
        <v>6</v>
      </c>
      <c r="C5" s="7" t="s">
        <v>45</v>
      </c>
      <c r="D5" s="7" t="s">
        <v>7</v>
      </c>
      <c r="E5" s="7" t="s">
        <v>7</v>
      </c>
      <c r="F5" s="7" t="s">
        <v>7</v>
      </c>
      <c r="G5" s="7" t="s">
        <v>7</v>
      </c>
      <c r="H5" s="7" t="s">
        <v>17</v>
      </c>
      <c r="I5" s="7" t="s">
        <v>13</v>
      </c>
    </row>
    <row r="6" spans="2:9" x14ac:dyDescent="0.3">
      <c r="B6" s="8" t="s">
        <v>18</v>
      </c>
      <c r="C6" s="9">
        <v>5</v>
      </c>
      <c r="D6" s="9">
        <v>36</v>
      </c>
      <c r="E6" s="9">
        <v>36</v>
      </c>
      <c r="F6" s="13">
        <f>C6*D6</f>
        <v>180</v>
      </c>
      <c r="G6" s="13">
        <f>C6*E6</f>
        <v>180</v>
      </c>
      <c r="H6" s="9">
        <v>8</v>
      </c>
      <c r="I6" s="13">
        <f>C6*D6*H6</f>
        <v>1440</v>
      </c>
    </row>
    <row r="7" spans="2:9" x14ac:dyDescent="0.3">
      <c r="B7" s="8" t="s">
        <v>19</v>
      </c>
      <c r="C7" s="9">
        <v>5</v>
      </c>
      <c r="D7" s="9">
        <v>18</v>
      </c>
      <c r="E7" s="9">
        <v>18</v>
      </c>
      <c r="F7" s="13">
        <f t="shared" ref="F7:F13" si="0">C7*D7</f>
        <v>90</v>
      </c>
      <c r="G7" s="13">
        <f t="shared" ref="G7:G13" si="1">C7*E7</f>
        <v>90</v>
      </c>
      <c r="H7" s="9">
        <v>8</v>
      </c>
      <c r="I7" s="13">
        <f t="shared" ref="I7:I13" si="2">C7*D7*H7</f>
        <v>720</v>
      </c>
    </row>
    <row r="8" spans="2:9" x14ac:dyDescent="0.3">
      <c r="B8" s="8" t="s">
        <v>20</v>
      </c>
      <c r="C8" s="9">
        <v>3</v>
      </c>
      <c r="D8" s="9">
        <v>36</v>
      </c>
      <c r="E8" s="9">
        <v>36</v>
      </c>
      <c r="F8" s="13">
        <f t="shared" si="0"/>
        <v>108</v>
      </c>
      <c r="G8" s="13">
        <f t="shared" si="1"/>
        <v>108</v>
      </c>
      <c r="H8" s="9">
        <v>10</v>
      </c>
      <c r="I8" s="13">
        <f t="shared" si="2"/>
        <v>1080</v>
      </c>
    </row>
    <row r="9" spans="2:9" x14ac:dyDescent="0.3">
      <c r="B9" s="8" t="s">
        <v>1</v>
      </c>
      <c r="C9" s="9">
        <v>2</v>
      </c>
      <c r="D9" s="9">
        <v>23</v>
      </c>
      <c r="E9" s="9">
        <v>168</v>
      </c>
      <c r="F9" s="13">
        <f t="shared" si="0"/>
        <v>46</v>
      </c>
      <c r="G9" s="13">
        <f t="shared" si="1"/>
        <v>336</v>
      </c>
      <c r="H9" s="9">
        <v>2</v>
      </c>
      <c r="I9" s="13">
        <f t="shared" si="2"/>
        <v>92</v>
      </c>
    </row>
    <row r="10" spans="2:9" x14ac:dyDescent="0.3">
      <c r="B10" s="8" t="s">
        <v>2</v>
      </c>
      <c r="C10" s="9">
        <v>1</v>
      </c>
      <c r="D10" s="9">
        <v>21</v>
      </c>
      <c r="E10" s="9">
        <v>35</v>
      </c>
      <c r="F10" s="13">
        <f t="shared" si="0"/>
        <v>21</v>
      </c>
      <c r="G10" s="13">
        <f t="shared" si="1"/>
        <v>35</v>
      </c>
      <c r="H10" s="9">
        <v>0.5</v>
      </c>
      <c r="I10" s="13">
        <f t="shared" si="2"/>
        <v>10.5</v>
      </c>
    </row>
    <row r="11" spans="2:9" x14ac:dyDescent="0.3">
      <c r="B11" s="8" t="s">
        <v>3</v>
      </c>
      <c r="C11" s="9">
        <v>4</v>
      </c>
      <c r="D11" s="9">
        <v>120</v>
      </c>
      <c r="E11" s="9">
        <v>120</v>
      </c>
      <c r="F11" s="13">
        <f t="shared" si="0"/>
        <v>480</v>
      </c>
      <c r="G11" s="13">
        <f t="shared" si="1"/>
        <v>480</v>
      </c>
      <c r="H11" s="9">
        <v>7</v>
      </c>
      <c r="I11" s="13">
        <f t="shared" si="2"/>
        <v>3360</v>
      </c>
    </row>
    <row r="12" spans="2:9" x14ac:dyDescent="0.3">
      <c r="B12" s="8" t="s">
        <v>4</v>
      </c>
      <c r="C12" s="9">
        <v>1</v>
      </c>
      <c r="D12" s="9">
        <v>10</v>
      </c>
      <c r="E12" s="9">
        <v>10</v>
      </c>
      <c r="F12" s="13">
        <f t="shared" si="0"/>
        <v>10</v>
      </c>
      <c r="G12" s="13">
        <f t="shared" si="1"/>
        <v>10</v>
      </c>
      <c r="H12" s="9">
        <v>24</v>
      </c>
      <c r="I12" s="13">
        <f t="shared" si="2"/>
        <v>240</v>
      </c>
    </row>
    <row r="13" spans="2:9" x14ac:dyDescent="0.3">
      <c r="B13" s="8" t="s">
        <v>5</v>
      </c>
      <c r="C13" s="9">
        <v>1</v>
      </c>
      <c r="D13" s="9">
        <v>10</v>
      </c>
      <c r="E13" s="9">
        <v>10</v>
      </c>
      <c r="F13" s="13">
        <f t="shared" si="0"/>
        <v>10</v>
      </c>
      <c r="G13" s="13">
        <f t="shared" si="1"/>
        <v>10</v>
      </c>
      <c r="H13" s="9">
        <v>24</v>
      </c>
      <c r="I13" s="13">
        <f t="shared" si="2"/>
        <v>240</v>
      </c>
    </row>
    <row r="14" spans="2:9" s="10" customFormat="1" x14ac:dyDescent="0.3">
      <c r="B14" s="11" t="s">
        <v>10</v>
      </c>
      <c r="C14" s="36"/>
      <c r="D14" s="37"/>
      <c r="E14" s="38"/>
      <c r="F14" s="15">
        <f>SUM(F6:F13)</f>
        <v>945</v>
      </c>
      <c r="G14" s="15">
        <f>SUM(G6:G13)</f>
        <v>1249</v>
      </c>
      <c r="H14" s="12"/>
      <c r="I14" s="16">
        <f>SUM(I6:I13)</f>
        <v>7182.5</v>
      </c>
    </row>
    <row r="16" spans="2:9" x14ac:dyDescent="0.3">
      <c r="D16" s="35" t="s">
        <v>16</v>
      </c>
      <c r="E16" s="35"/>
      <c r="F16" s="14">
        <v>0.8</v>
      </c>
      <c r="G16" s="14">
        <v>0.8</v>
      </c>
    </row>
    <row r="17" spans="2:8" ht="14.4" customHeight="1" x14ac:dyDescent="0.3"/>
    <row r="18" spans="2:8" x14ac:dyDescent="0.3">
      <c r="E18" s="11" t="s">
        <v>10</v>
      </c>
      <c r="F18" s="17">
        <f>F14*F16</f>
        <v>756</v>
      </c>
      <c r="G18" s="17">
        <f>G14*G16</f>
        <v>999.2</v>
      </c>
    </row>
    <row r="19" spans="2:8" x14ac:dyDescent="0.3">
      <c r="F19" s="39" t="s">
        <v>53</v>
      </c>
      <c r="G19" s="39" t="s">
        <v>54</v>
      </c>
      <c r="H19" s="2"/>
    </row>
    <row r="20" spans="2:8" x14ac:dyDescent="0.3">
      <c r="F20" s="40"/>
      <c r="G20" s="40"/>
      <c r="H20" s="2"/>
    </row>
    <row r="21" spans="2:8" x14ac:dyDescent="0.3">
      <c r="F21" s="40"/>
      <c r="G21" s="40"/>
      <c r="H21" s="2"/>
    </row>
    <row r="22" spans="2:8" ht="14.4" customHeight="1" x14ac:dyDescent="0.3">
      <c r="B22" s="18" t="s">
        <v>23</v>
      </c>
      <c r="C22" s="2"/>
      <c r="D22" s="2"/>
      <c r="E22" s="2"/>
      <c r="F22" s="2"/>
      <c r="G22" s="2"/>
      <c r="H22" s="2"/>
    </row>
    <row r="23" spans="2:8" x14ac:dyDescent="0.3">
      <c r="C23" s="28" t="s">
        <v>50</v>
      </c>
      <c r="D23" s="2"/>
      <c r="E23" s="2"/>
      <c r="F23" s="2"/>
      <c r="G23" s="2"/>
      <c r="H23" s="2"/>
    </row>
    <row r="24" spans="2:8" x14ac:dyDescent="0.3">
      <c r="B24" s="19" t="s">
        <v>24</v>
      </c>
      <c r="C24" s="29" t="s">
        <v>27</v>
      </c>
      <c r="D24" s="20">
        <v>48</v>
      </c>
      <c r="E24" s="34" t="s">
        <v>52</v>
      </c>
      <c r="F24" s="2"/>
      <c r="G24" s="2"/>
      <c r="H24" s="2"/>
    </row>
    <row r="25" spans="2:8" x14ac:dyDescent="0.3">
      <c r="B25" s="19" t="s">
        <v>48</v>
      </c>
      <c r="C25" s="29" t="s">
        <v>27</v>
      </c>
      <c r="D25" s="20">
        <v>12</v>
      </c>
      <c r="E25" s="34" t="s">
        <v>51</v>
      </c>
      <c r="F25" s="2"/>
      <c r="G25" s="2"/>
      <c r="H25" s="2"/>
    </row>
    <row r="26" spans="2:8" x14ac:dyDescent="0.3">
      <c r="B26" s="19" t="s">
        <v>44</v>
      </c>
      <c r="C26" s="29" t="s">
        <v>46</v>
      </c>
      <c r="D26" s="26">
        <f>D24/D25</f>
        <v>4</v>
      </c>
      <c r="E26" s="34"/>
      <c r="F26" s="2"/>
      <c r="G26" s="2"/>
      <c r="H26" s="2"/>
    </row>
    <row r="27" spans="2:8" x14ac:dyDescent="0.3">
      <c r="B27" s="19" t="s">
        <v>25</v>
      </c>
      <c r="C27" s="29" t="s">
        <v>26</v>
      </c>
      <c r="D27" s="20">
        <v>1</v>
      </c>
      <c r="E27" s="27"/>
      <c r="F27" s="2"/>
      <c r="G27" s="2"/>
      <c r="H27" s="2"/>
    </row>
    <row r="28" spans="2:8" x14ac:dyDescent="0.3">
      <c r="B28" s="19" t="s">
        <v>28</v>
      </c>
      <c r="C28" s="29" t="s">
        <v>43</v>
      </c>
      <c r="D28" s="21">
        <v>0.5</v>
      </c>
      <c r="E28" s="27"/>
      <c r="F28" s="2"/>
      <c r="G28" s="2"/>
      <c r="H28" s="2"/>
    </row>
    <row r="29" spans="2:8" x14ac:dyDescent="0.3">
      <c r="B29" s="19" t="s">
        <v>38</v>
      </c>
      <c r="C29" s="30" t="s">
        <v>39</v>
      </c>
      <c r="D29" s="20" t="s">
        <v>42</v>
      </c>
      <c r="E29" s="27"/>
      <c r="F29" s="2"/>
      <c r="G29" s="2"/>
      <c r="H29" s="2"/>
    </row>
    <row r="30" spans="2:8" x14ac:dyDescent="0.3">
      <c r="C30" s="31"/>
      <c r="D30" s="2"/>
      <c r="E30" s="27"/>
      <c r="F30" s="2"/>
      <c r="G30" s="2"/>
      <c r="H30" s="2"/>
    </row>
    <row r="31" spans="2:8" x14ac:dyDescent="0.3">
      <c r="B31" s="19" t="s">
        <v>29</v>
      </c>
      <c r="C31" s="29" t="s">
        <v>30</v>
      </c>
      <c r="D31" s="33">
        <f>I14*D27/D28</f>
        <v>14365</v>
      </c>
      <c r="E31" s="22"/>
    </row>
    <row r="32" spans="2:8" x14ac:dyDescent="0.3">
      <c r="B32" s="19" t="s">
        <v>47</v>
      </c>
      <c r="C32" s="29" t="s">
        <v>31</v>
      </c>
      <c r="D32" s="25">
        <f>D31/D24</f>
        <v>299.27083333333331</v>
      </c>
      <c r="E32" s="22"/>
    </row>
    <row r="33" spans="2:5" x14ac:dyDescent="0.3">
      <c r="C33" s="32"/>
      <c r="E33" s="22"/>
    </row>
    <row r="34" spans="2:5" x14ac:dyDescent="0.3">
      <c r="B34" s="19" t="s">
        <v>33</v>
      </c>
      <c r="C34" s="29" t="s">
        <v>41</v>
      </c>
      <c r="D34" s="21">
        <v>0.2</v>
      </c>
      <c r="E34" s="34" t="s">
        <v>55</v>
      </c>
    </row>
    <row r="35" spans="2:5" x14ac:dyDescent="0.3">
      <c r="B35" s="19" t="s">
        <v>33</v>
      </c>
      <c r="C35" s="29" t="s">
        <v>35</v>
      </c>
      <c r="D35" s="25">
        <f>D34*D32</f>
        <v>59.854166666666664</v>
      </c>
      <c r="E35" s="22"/>
    </row>
    <row r="36" spans="2:5" x14ac:dyDescent="0.3">
      <c r="B36" s="19" t="s">
        <v>34</v>
      </c>
      <c r="C36" s="29" t="s">
        <v>7</v>
      </c>
      <c r="D36" s="24">
        <f>D35*D24</f>
        <v>2873</v>
      </c>
      <c r="E36" s="23"/>
    </row>
    <row r="37" spans="2:5" x14ac:dyDescent="0.3">
      <c r="C37" s="32"/>
      <c r="E37" s="22"/>
    </row>
    <row r="38" spans="2:5" x14ac:dyDescent="0.3">
      <c r="B38" s="19" t="s">
        <v>36</v>
      </c>
      <c r="C38" s="29" t="s">
        <v>41</v>
      </c>
      <c r="D38" s="21">
        <v>0.1</v>
      </c>
      <c r="E38" s="34" t="s">
        <v>56</v>
      </c>
    </row>
    <row r="39" spans="2:5" x14ac:dyDescent="0.3">
      <c r="B39" s="19" t="s">
        <v>36</v>
      </c>
      <c r="C39" s="29" t="s">
        <v>35</v>
      </c>
      <c r="D39" s="25">
        <f>D38*D32</f>
        <v>29.927083333333332</v>
      </c>
      <c r="E39" s="22"/>
    </row>
    <row r="40" spans="2:5" x14ac:dyDescent="0.3">
      <c r="B40" s="19" t="s">
        <v>37</v>
      </c>
      <c r="C40" s="29" t="s">
        <v>7</v>
      </c>
      <c r="D40" s="25">
        <f>D39*D24</f>
        <v>1436.5</v>
      </c>
      <c r="E40" s="23"/>
    </row>
    <row r="41" spans="2:5" x14ac:dyDescent="0.3">
      <c r="C41" s="32"/>
      <c r="E41" s="22"/>
    </row>
    <row r="42" spans="2:5" x14ac:dyDescent="0.3">
      <c r="B42" s="19" t="s">
        <v>32</v>
      </c>
      <c r="C42" s="29" t="s">
        <v>41</v>
      </c>
      <c r="D42" s="21">
        <v>0.33</v>
      </c>
      <c r="E42" s="34" t="s">
        <v>49</v>
      </c>
    </row>
    <row r="43" spans="2:5" x14ac:dyDescent="0.3">
      <c r="B43" s="19" t="s">
        <v>32</v>
      </c>
      <c r="C43" s="29" t="s">
        <v>35</v>
      </c>
      <c r="D43" s="25">
        <f>D42*D32</f>
        <v>98.759374999999991</v>
      </c>
      <c r="E43" s="22"/>
    </row>
    <row r="44" spans="2:5" x14ac:dyDescent="0.3">
      <c r="B44" s="19" t="s">
        <v>40</v>
      </c>
      <c r="C44" s="29" t="s">
        <v>7</v>
      </c>
      <c r="D44" s="25">
        <f>D43*D24</f>
        <v>4740.45</v>
      </c>
      <c r="E44" s="23"/>
    </row>
    <row r="45" spans="2:5" x14ac:dyDescent="0.3">
      <c r="E45" s="22"/>
    </row>
    <row r="46" spans="2:5" x14ac:dyDescent="0.3">
      <c r="E46" s="22"/>
    </row>
    <row r="47" spans="2:5" x14ac:dyDescent="0.3">
      <c r="B47" s="18" t="s">
        <v>66</v>
      </c>
      <c r="E47" s="22"/>
    </row>
    <row r="48" spans="2:5" x14ac:dyDescent="0.3">
      <c r="E48" s="22"/>
    </row>
    <row r="49" spans="2:5" x14ac:dyDescent="0.3">
      <c r="B49" s="19" t="s">
        <v>12</v>
      </c>
      <c r="C49" s="29" t="s">
        <v>63</v>
      </c>
      <c r="D49" s="26">
        <f>I14</f>
        <v>7182.5</v>
      </c>
      <c r="E49" s="22"/>
    </row>
    <row r="50" spans="2:5" x14ac:dyDescent="0.3">
      <c r="B50" s="19" t="s">
        <v>57</v>
      </c>
      <c r="C50" s="29" t="s">
        <v>58</v>
      </c>
      <c r="D50" s="20">
        <v>5000</v>
      </c>
    </row>
    <row r="51" spans="2:5" x14ac:dyDescent="0.3">
      <c r="B51" s="19" t="s">
        <v>59</v>
      </c>
      <c r="C51" s="29" t="s">
        <v>60</v>
      </c>
      <c r="D51" s="21">
        <v>0.65</v>
      </c>
    </row>
    <row r="52" spans="2:5" x14ac:dyDescent="0.3">
      <c r="B52" s="19" t="s">
        <v>61</v>
      </c>
      <c r="C52" s="29" t="s">
        <v>62</v>
      </c>
      <c r="D52" s="25">
        <f>1000*D49/(D50*D51)</f>
        <v>2210</v>
      </c>
    </row>
    <row r="54" spans="2:5" x14ac:dyDescent="0.3">
      <c r="B54" s="19" t="s">
        <v>64</v>
      </c>
      <c r="C54" s="29" t="s">
        <v>60</v>
      </c>
      <c r="D54" s="21">
        <v>0.9</v>
      </c>
      <c r="E54" s="34" t="s">
        <v>68</v>
      </c>
    </row>
    <row r="55" spans="2:5" x14ac:dyDescent="0.3">
      <c r="B55" s="19" t="s">
        <v>67</v>
      </c>
      <c r="C55" s="29" t="s">
        <v>65</v>
      </c>
      <c r="D55" s="25">
        <f>D52*D54/D24</f>
        <v>41.4375</v>
      </c>
      <c r="E55" s="34" t="s">
        <v>69</v>
      </c>
    </row>
  </sheetData>
  <mergeCells count="4">
    <mergeCell ref="D16:E16"/>
    <mergeCell ref="C14:E14"/>
    <mergeCell ref="F19:F21"/>
    <mergeCell ref="G19:G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Propriétaire</dc:creator>
  <cp:lastModifiedBy>Propriétaire</cp:lastModifiedBy>
  <dcterms:created xsi:type="dcterms:W3CDTF">2020-04-16T09:29:09Z</dcterms:created>
  <dcterms:modified xsi:type="dcterms:W3CDTF">2020-05-05T18:52:45Z</dcterms:modified>
</cp:coreProperties>
</file>