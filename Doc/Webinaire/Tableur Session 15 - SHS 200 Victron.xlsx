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efo\Documents\Travail\1. Victron\1. Internal\PAYG\_Internal PAYGO\"/>
    </mc:Choice>
  </mc:AlternateContent>
  <xr:revisionPtr revIDLastSave="0" documentId="13_ncr:1_{1B7E9BCB-FA61-446A-83B2-7C53DC8F46A3}" xr6:coauthVersionLast="47" xr6:coauthVersionMax="47" xr10:uidLastSave="{00000000-0000-0000-0000-000000000000}"/>
  <bookViews>
    <workbookView xWindow="-110" yWindow="-110" windowWidth="19420" windowHeight="10420" xr2:uid="{2161D1EB-4883-46E5-A86D-1FC269294FD6}"/>
  </bookViews>
  <sheets>
    <sheet name="Sizing" sheetId="2" r:id="rId1"/>
  </sheets>
  <definedNames>
    <definedName name="Bat_ratio">Sizing!$F$30</definedName>
    <definedName name="daily_conso">Sizing!$H$23</definedName>
    <definedName name="Efficiency">Sizing!$F$28</definedName>
    <definedName name="Inv_efficiency">Sizing!#REF!</definedName>
    <definedName name="Irradiation">Sizing!$F$27</definedName>
    <definedName name="Max_AC">Sizing!$K$23</definedName>
    <definedName name="Max_DC">Sizing!$I$23</definedName>
    <definedName name="Max_DoD">Sizing!$F$29</definedName>
    <definedName name="Voltage">Sizing!$B$65:$B$66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2" l="1"/>
  <c r="I14" i="2"/>
  <c r="I15" i="2"/>
  <c r="I16" i="2"/>
  <c r="I17" i="2"/>
  <c r="I18" i="2"/>
  <c r="I19" i="2"/>
  <c r="I20" i="2"/>
  <c r="I21" i="2"/>
  <c r="I22" i="2"/>
  <c r="I12" i="2"/>
  <c r="H12" i="2"/>
  <c r="H13" i="2"/>
  <c r="H14" i="2"/>
  <c r="H15" i="2"/>
  <c r="H16" i="2"/>
  <c r="H17" i="2"/>
  <c r="H18" i="2"/>
  <c r="H19" i="2"/>
  <c r="H20" i="2"/>
  <c r="H21" i="2"/>
  <c r="H22" i="2"/>
  <c r="E53" i="2"/>
  <c r="D47" i="2"/>
  <c r="D48" i="2"/>
  <c r="D49" i="2"/>
  <c r="E55" i="2" s="1"/>
  <c r="D46" i="2"/>
  <c r="I23" i="2" l="1"/>
  <c r="H23" i="2"/>
  <c r="F47" i="2"/>
  <c r="F48" i="2"/>
  <c r="G48" i="2" s="1"/>
  <c r="F49" i="2"/>
  <c r="F46" i="2"/>
  <c r="E56" i="2" l="1"/>
  <c r="E58" i="2" s="1"/>
  <c r="E54" i="2"/>
  <c r="E57" i="2" s="1"/>
  <c r="G49" i="2"/>
  <c r="G47" i="2"/>
  <c r="G46" i="2"/>
  <c r="E59" i="2" l="1"/>
  <c r="D37" i="2" s="1"/>
  <c r="E60" i="2" l="1"/>
  <c r="D39" i="2" s="1"/>
  <c r="D38" i="2" l="1"/>
</calcChain>
</file>

<file path=xl/sharedStrings.xml><?xml version="1.0" encoding="utf-8"?>
<sst xmlns="http://schemas.openxmlformats.org/spreadsheetml/2006/main" count="98" uniqueCount="82">
  <si>
    <t>V</t>
  </si>
  <si>
    <t>Irradiation</t>
  </si>
  <si>
    <t>%</t>
  </si>
  <si>
    <t>Wh</t>
  </si>
  <si>
    <t>Wh/day</t>
  </si>
  <si>
    <t>Wp</t>
  </si>
  <si>
    <t>#</t>
  </si>
  <si>
    <t>Ah @12V</t>
  </si>
  <si>
    <t>SHS 200</t>
  </si>
  <si>
    <t>SHS 200 #1</t>
  </si>
  <si>
    <t>SHS 200 #2</t>
  </si>
  <si>
    <t>SHS 200 #3</t>
  </si>
  <si>
    <t>SHS 200 #4</t>
  </si>
  <si>
    <t>1 to 4</t>
  </si>
  <si>
    <t>1 or 2</t>
  </si>
  <si>
    <t>1 to 3</t>
  </si>
  <si>
    <t>Voltage</t>
  </si>
  <si>
    <t>LED bulb (small)</t>
  </si>
  <si>
    <t>LED bulb (medium)</t>
  </si>
  <si>
    <t>Fan</t>
  </si>
  <si>
    <t>Radio</t>
  </si>
  <si>
    <t>TV 24"</t>
  </si>
  <si>
    <t>TV 32"</t>
  </si>
  <si>
    <t>W</t>
  </si>
  <si>
    <t>Total</t>
  </si>
  <si>
    <t>Configuration</t>
  </si>
  <si>
    <t>Hair clipper</t>
  </si>
  <si>
    <t>Phone charging</t>
  </si>
  <si>
    <t>Tests</t>
  </si>
  <si>
    <t>ok/error</t>
  </si>
  <si>
    <t>-</t>
  </si>
  <si>
    <t>Fridge (50L)</t>
  </si>
  <si>
    <t>Entrées manuelles</t>
  </si>
  <si>
    <t>Résultats principaux</t>
  </si>
  <si>
    <t>Légende</t>
  </si>
  <si>
    <t>Entrées</t>
  </si>
  <si>
    <t>Profil de charge de l'utilisateur</t>
  </si>
  <si>
    <t>Accessoires</t>
  </si>
  <si>
    <t>Puissance continue</t>
  </si>
  <si>
    <t>Tension</t>
  </si>
  <si>
    <t>Quantité</t>
  </si>
  <si>
    <t>Utilisation</t>
  </si>
  <si>
    <t>Heures/jour</t>
  </si>
  <si>
    <t>Consommation journalière</t>
  </si>
  <si>
    <t>Autres entrées</t>
  </si>
  <si>
    <t>Rendement total du système</t>
  </si>
  <si>
    <t>Taux de décharge max de la batterie</t>
  </si>
  <si>
    <t>Ratio courant de charge / capacité batterie</t>
  </si>
  <si>
    <t>Wh/m²/jour</t>
  </si>
  <si>
    <t>Sélectionné</t>
  </si>
  <si>
    <t>Recommandé</t>
  </si>
  <si>
    <t>Dépend de la localisation</t>
  </si>
  <si>
    <t>Plomb (Gel/AGM) : 50%
Lithium : 80%</t>
  </si>
  <si>
    <t>10 à 20%</t>
  </si>
  <si>
    <t>Résultats</t>
  </si>
  <si>
    <t>Quelle configuration du SHS 200 permet de couvrir le besoin de l'utilisateur ?</t>
  </si>
  <si>
    <t>Puissance PV</t>
  </si>
  <si>
    <t>Capacité de la batterie</t>
  </si>
  <si>
    <t>Production journalière</t>
  </si>
  <si>
    <t>Tension batterie</t>
  </si>
  <si>
    <t>Capacité</t>
  </si>
  <si>
    <t>Autonomie</t>
  </si>
  <si>
    <t>Puissance maximale</t>
  </si>
  <si>
    <t>Puissance demandée</t>
  </si>
  <si>
    <t>Production maximale</t>
  </si>
  <si>
    <t>Production demandée</t>
  </si>
  <si>
    <t>Test puissance</t>
  </si>
  <si>
    <t>Test production</t>
  </si>
  <si>
    <t>Résultat</t>
  </si>
  <si>
    <t>Configuration adaptée</t>
  </si>
  <si>
    <t>Liste</t>
  </si>
  <si>
    <t>Pas de connexion en série autorisée</t>
  </si>
  <si>
    <t>Panneau de 12V (36 cellules)</t>
  </si>
  <si>
    <t xml:space="preserve">SHS 200 </t>
  </si>
  <si>
    <t>Nb en parallèle</t>
  </si>
  <si>
    <t>(20 à 50 Wp)</t>
  </si>
  <si>
    <t>(50 à 65 Wp)</t>
  </si>
  <si>
    <t>(70 à 100 Wp)</t>
  </si>
  <si>
    <t>(100 à 200 Wp)</t>
  </si>
  <si>
    <t>Combinaisons de panneaux possibles</t>
  </si>
  <si>
    <t>Calculs automatiques</t>
  </si>
  <si>
    <t>Batterie recommandée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</si>
</sst>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&quot; V&quot;;\-#,##0"/>
    <numFmt numFmtId="165" formatCode="#,##0;\-#,##0;&quot;-&quot;"/>
    <numFmt numFmtId="166" formatCode="#,##0.0;\-#,##0.0;&quot;-&quot;"/>
    <numFmt numFmtId="167" formatCode="&quot;1 x &quot;#,##0&quot; Ah&quot;;\-#,##0;&quot;-&quot;"/>
    <numFmt numFmtId="168" formatCode="&quot;error&quot;;\-#,##0;&quot;ok&quot;"/>
    <numFmt numFmtId="169" formatCode="&quot;undersized&quot;;\-#,##0;&quot;suitable&quot;"/>
    <numFmt numFmtId="170" formatCode="#,##0&quot; Wc&quot;;\-#,##0;&quot;-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1" tint="0.3499862666707357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1" tint="0.34998626667073579"/>
      </right>
      <top style="thin">
        <color theme="0"/>
      </top>
      <bottom style="thin">
        <color theme="1" tint="0.34998626667073579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37" fontId="0" fillId="0" borderId="1" xfId="0" applyNumberFormat="1" applyBorder="1" applyAlignment="1">
      <alignment vertical="center"/>
    </xf>
    <xf numFmtId="37" fontId="0" fillId="0" borderId="4" xfId="0" applyNumberFormat="1" applyBorder="1" applyAlignment="1">
      <alignment vertical="center"/>
    </xf>
    <xf numFmtId="37" fontId="0" fillId="0" borderId="4" xfId="0" applyNumberFormat="1" applyBorder="1" applyAlignment="1">
      <alignment horizontal="center" vertical="center"/>
    </xf>
    <xf numFmtId="37" fontId="0" fillId="0" borderId="2" xfId="0" applyNumberFormat="1" applyBorder="1" applyAlignment="1">
      <alignment vertical="center"/>
    </xf>
    <xf numFmtId="37" fontId="0" fillId="3" borderId="6" xfId="0" applyNumberFormat="1" applyFill="1" applyBorder="1" applyAlignment="1">
      <alignment horizontal="center" vertical="center"/>
    </xf>
    <xf numFmtId="37" fontId="0" fillId="0" borderId="6" xfId="0" applyNumberFormat="1" applyBorder="1" applyAlignment="1">
      <alignment horizontal="center" vertical="center"/>
    </xf>
    <xf numFmtId="37" fontId="0" fillId="0" borderId="5" xfId="0" applyNumberFormat="1" applyBorder="1" applyAlignment="1">
      <alignment vertical="center"/>
    </xf>
    <xf numFmtId="37" fontId="0" fillId="0" borderId="5" xfId="0" applyNumberFormat="1" applyBorder="1" applyAlignment="1">
      <alignment horizontal="center" vertical="center"/>
    </xf>
    <xf numFmtId="37" fontId="3" fillId="0" borderId="1" xfId="0" applyNumberFormat="1" applyFont="1" applyBorder="1" applyAlignment="1">
      <alignment vertical="center"/>
    </xf>
    <xf numFmtId="37" fontId="0" fillId="2" borderId="6" xfId="0" applyNumberFormat="1" applyFill="1" applyBorder="1" applyAlignment="1">
      <alignment horizontal="center" vertical="center" wrapText="1"/>
    </xf>
    <xf numFmtId="37" fontId="0" fillId="0" borderId="2" xfId="0" applyNumberFormat="1" applyBorder="1" applyAlignment="1">
      <alignment vertical="center" wrapText="1"/>
    </xf>
    <xf numFmtId="37" fontId="0" fillId="0" borderId="1" xfId="0" applyNumberFormat="1" applyBorder="1" applyAlignment="1">
      <alignment vertical="center" wrapText="1"/>
    </xf>
    <xf numFmtId="37" fontId="0" fillId="0" borderId="6" xfId="0" applyNumberFormat="1" applyBorder="1" applyAlignment="1">
      <alignment vertical="center"/>
    </xf>
    <xf numFmtId="37" fontId="0" fillId="0" borderId="9" xfId="0" applyNumberFormat="1" applyBorder="1" applyAlignment="1">
      <alignment horizontal="left" vertical="center"/>
    </xf>
    <xf numFmtId="37" fontId="0" fillId="0" borderId="11" xfId="0" applyNumberFormat="1" applyBorder="1" applyAlignment="1">
      <alignment vertical="center"/>
    </xf>
    <xf numFmtId="37" fontId="5" fillId="0" borderId="1" xfId="0" applyNumberFormat="1" applyFont="1" applyBorder="1" applyAlignment="1">
      <alignment vertical="center"/>
    </xf>
    <xf numFmtId="37" fontId="0" fillId="0" borderId="13" xfId="0" applyNumberFormat="1" applyBorder="1" applyAlignment="1">
      <alignment vertical="center" wrapText="1"/>
    </xf>
    <xf numFmtId="37" fontId="0" fillId="0" borderId="13" xfId="0" applyNumberFormat="1" applyBorder="1" applyAlignment="1">
      <alignment horizontal="center" vertical="center" wrapText="1"/>
    </xf>
    <xf numFmtId="37" fontId="0" fillId="0" borderId="13" xfId="0" applyNumberFormat="1" applyBorder="1" applyAlignment="1">
      <alignment horizontal="center" vertical="center"/>
    </xf>
    <xf numFmtId="37" fontId="0" fillId="0" borderId="12" xfId="0" applyNumberFormat="1" applyBorder="1" applyAlignment="1">
      <alignment vertical="center" wrapText="1"/>
    </xf>
    <xf numFmtId="37" fontId="0" fillId="0" borderId="12" xfId="0" applyNumberFormat="1" applyBorder="1" applyAlignment="1">
      <alignment horizontal="center" vertical="center" wrapText="1"/>
    </xf>
    <xf numFmtId="37" fontId="0" fillId="0" borderId="12" xfId="0" applyNumberFormat="1" applyBorder="1" applyAlignment="1">
      <alignment horizontal="center" vertical="center"/>
    </xf>
    <xf numFmtId="37" fontId="0" fillId="0" borderId="4" xfId="0" applyNumberFormat="1" applyBorder="1" applyAlignment="1">
      <alignment horizontal="center" vertical="center" wrapText="1"/>
    </xf>
    <xf numFmtId="37" fontId="6" fillId="2" borderId="8" xfId="0" applyNumberFormat="1" applyFont="1" applyFill="1" applyBorder="1" applyAlignment="1">
      <alignment horizontal="center" vertical="center"/>
    </xf>
    <xf numFmtId="37" fontId="0" fillId="2" borderId="7" xfId="0" applyNumberFormat="1" applyFill="1" applyBorder="1" applyAlignment="1">
      <alignment horizontal="center" vertical="center" wrapText="1"/>
    </xf>
    <xf numFmtId="37" fontId="0" fillId="0" borderId="0" xfId="0" applyNumberFormat="1" applyBorder="1" applyAlignment="1">
      <alignment horizontal="center" vertical="center"/>
    </xf>
    <xf numFmtId="37" fontId="0" fillId="0" borderId="1" xfId="0" applyNumberFormat="1" applyBorder="1" applyAlignment="1">
      <alignment horizontal="center" vertical="center"/>
    </xf>
    <xf numFmtId="37" fontId="0" fillId="0" borderId="3" xfId="0" applyNumberFormat="1" applyBorder="1" applyAlignment="1">
      <alignment vertical="center"/>
    </xf>
    <xf numFmtId="37" fontId="0" fillId="4" borderId="6" xfId="0" applyNumberFormat="1" applyFill="1" applyBorder="1" applyAlignment="1">
      <alignment horizontal="center" vertical="center"/>
    </xf>
    <xf numFmtId="37" fontId="2" fillId="0" borderId="1" xfId="0" applyNumberFormat="1" applyFont="1" applyBorder="1" applyAlignment="1">
      <alignment vertical="center"/>
    </xf>
    <xf numFmtId="37" fontId="0" fillId="0" borderId="10" xfId="0" applyNumberFormat="1" applyBorder="1" applyAlignment="1">
      <alignment vertical="center"/>
    </xf>
    <xf numFmtId="37" fontId="0" fillId="5" borderId="6" xfId="0" applyNumberFormat="1" applyFill="1" applyBorder="1" applyAlignment="1">
      <alignment horizontal="center" vertical="center"/>
    </xf>
    <xf numFmtId="165" fontId="0" fillId="6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37" fontId="0" fillId="6" borderId="9" xfId="0" applyNumberFormat="1" applyFill="1" applyBorder="1" applyAlignment="1">
      <alignment horizontal="left" vertical="center"/>
    </xf>
    <xf numFmtId="37" fontId="0" fillId="6" borderId="10" xfId="0" applyNumberFormat="1" applyFill="1" applyBorder="1" applyAlignment="1">
      <alignment horizontal="left" vertical="center"/>
    </xf>
    <xf numFmtId="166" fontId="0" fillId="6" borderId="6" xfId="0" applyNumberFormat="1" applyFill="1" applyBorder="1" applyAlignment="1">
      <alignment horizontal="center" vertical="center"/>
    </xf>
    <xf numFmtId="165" fontId="0" fillId="7" borderId="6" xfId="0" applyNumberFormat="1" applyFill="1" applyBorder="1" applyAlignment="1">
      <alignment horizontal="center" vertical="center"/>
    </xf>
    <xf numFmtId="37" fontId="0" fillId="0" borderId="0" xfId="0" applyNumberFormat="1" applyBorder="1" applyAlignment="1">
      <alignment vertical="center"/>
    </xf>
    <xf numFmtId="9" fontId="0" fillId="6" borderId="6" xfId="1" applyFon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37" fontId="0" fillId="3" borderId="9" xfId="0" applyNumberFormat="1" applyFill="1" applyBorder="1" applyAlignment="1">
      <alignment vertical="center"/>
    </xf>
    <xf numFmtId="37" fontId="0" fillId="3" borderId="11" xfId="0" applyNumberFormat="1" applyFill="1" applyBorder="1" applyAlignment="1">
      <alignment vertical="center"/>
    </xf>
    <xf numFmtId="37" fontId="0" fillId="3" borderId="10" xfId="0" applyNumberFormat="1" applyFill="1" applyBorder="1" applyAlignment="1">
      <alignment vertical="center"/>
    </xf>
    <xf numFmtId="37" fontId="0" fillId="0" borderId="15" xfId="0" applyNumberFormat="1" applyBorder="1" applyAlignment="1">
      <alignment vertical="center"/>
    </xf>
    <xf numFmtId="37" fontId="7" fillId="0" borderId="0" xfId="0" applyNumberFormat="1" applyFont="1" applyBorder="1" applyAlignment="1">
      <alignment vertical="center"/>
    </xf>
    <xf numFmtId="165" fontId="0" fillId="0" borderId="0" xfId="0" quotePrefix="1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3" borderId="9" xfId="0" applyNumberFormat="1" applyFill="1" applyBorder="1" applyAlignment="1">
      <alignment horizontal="left" vertical="center"/>
    </xf>
    <xf numFmtId="165" fontId="0" fillId="3" borderId="10" xfId="0" applyNumberFormat="1" applyFill="1" applyBorder="1" applyAlignment="1">
      <alignment horizontal="left" vertical="center"/>
    </xf>
    <xf numFmtId="37" fontId="0" fillId="6" borderId="6" xfId="0" applyNumberFormat="1" applyFill="1" applyBorder="1" applyAlignment="1">
      <alignment vertical="center"/>
    </xf>
    <xf numFmtId="37" fontId="0" fillId="7" borderId="6" xfId="0" applyNumberFormat="1" applyFill="1" applyBorder="1" applyAlignment="1">
      <alignment vertical="center"/>
    </xf>
    <xf numFmtId="165" fontId="0" fillId="9" borderId="0" xfId="0" quotePrefix="1" applyNumberFormat="1" applyFill="1" applyBorder="1" applyAlignment="1">
      <alignment horizontal="center" vertical="center"/>
    </xf>
    <xf numFmtId="165" fontId="0" fillId="9" borderId="0" xfId="0" applyNumberFormat="1" applyFill="1" applyBorder="1" applyAlignment="1">
      <alignment horizontal="center" vertical="center"/>
    </xf>
    <xf numFmtId="165" fontId="9" fillId="9" borderId="0" xfId="0" quotePrefix="1" applyNumberFormat="1" applyFont="1" applyFill="1" applyBorder="1" applyAlignment="1">
      <alignment horizontal="left" vertical="center"/>
    </xf>
    <xf numFmtId="37" fontId="0" fillId="9" borderId="0" xfId="0" applyNumberFormat="1" applyFill="1" applyBorder="1" applyAlignment="1">
      <alignment vertical="center"/>
    </xf>
    <xf numFmtId="37" fontId="0" fillId="0" borderId="0" xfId="0" applyNumberFormat="1" applyBorder="1" applyAlignment="1">
      <alignment horizontal="left" vertical="center"/>
    </xf>
    <xf numFmtId="165" fontId="8" fillId="9" borderId="0" xfId="0" quotePrefix="1" applyNumberFormat="1" applyFont="1" applyFill="1" applyBorder="1" applyAlignment="1">
      <alignment horizontal="left" vertical="center"/>
    </xf>
    <xf numFmtId="37" fontId="0" fillId="0" borderId="17" xfId="0" applyNumberFormat="1" applyBorder="1" applyAlignment="1">
      <alignment vertical="center"/>
    </xf>
    <xf numFmtId="37" fontId="0" fillId="6" borderId="8" xfId="0" applyNumberFormat="1" applyFill="1" applyBorder="1" applyAlignment="1">
      <alignment horizontal="center" vertical="center"/>
    </xf>
    <xf numFmtId="37" fontId="11" fillId="3" borderId="8" xfId="0" applyNumberFormat="1" applyFont="1" applyFill="1" applyBorder="1" applyAlignment="1">
      <alignment horizontal="center" vertical="center" wrapText="1"/>
    </xf>
    <xf numFmtId="9" fontId="1" fillId="3" borderId="6" xfId="1" applyFont="1" applyFill="1" applyBorder="1" applyAlignment="1">
      <alignment horizontal="center" vertical="center"/>
    </xf>
    <xf numFmtId="37" fontId="0" fillId="2" borderId="6" xfId="0" applyNumberFormat="1" applyFill="1" applyBorder="1" applyAlignment="1">
      <alignment horizontal="center" vertical="center"/>
    </xf>
    <xf numFmtId="37" fontId="0" fillId="0" borderId="18" xfId="0" applyNumberFormat="1" applyBorder="1" applyAlignment="1">
      <alignment vertical="center"/>
    </xf>
    <xf numFmtId="37" fontId="0" fillId="2" borderId="7" xfId="0" applyNumberFormat="1" applyFill="1" applyBorder="1" applyAlignment="1">
      <alignment horizontal="center" vertical="center" wrapText="1"/>
    </xf>
    <xf numFmtId="37" fontId="0" fillId="8" borderId="9" xfId="0" applyNumberFormat="1" applyFill="1" applyBorder="1" applyAlignment="1">
      <alignment horizontal="left" vertical="center"/>
    </xf>
    <xf numFmtId="37" fontId="0" fillId="8" borderId="9" xfId="0" quotePrefix="1" applyNumberFormat="1" applyFill="1" applyBorder="1" applyAlignment="1">
      <alignment horizontal="left" vertical="center"/>
    </xf>
    <xf numFmtId="37" fontId="0" fillId="0" borderId="15" xfId="0" applyNumberFormat="1" applyBorder="1" applyAlignment="1">
      <alignment horizontal="center" vertical="center"/>
    </xf>
    <xf numFmtId="37" fontId="0" fillId="8" borderId="19" xfId="0" applyNumberFormat="1" applyFill="1" applyBorder="1" applyAlignment="1">
      <alignment horizontal="center" vertical="center"/>
    </xf>
    <xf numFmtId="37" fontId="10" fillId="8" borderId="19" xfId="0" applyNumberFormat="1" applyFont="1" applyFill="1" applyBorder="1" applyAlignment="1">
      <alignment horizontal="center" vertical="center"/>
    </xf>
    <xf numFmtId="37" fontId="10" fillId="0" borderId="19" xfId="0" applyNumberFormat="1" applyFont="1" applyBorder="1" applyAlignment="1">
      <alignment horizontal="center" vertical="center"/>
    </xf>
    <xf numFmtId="168" fontId="0" fillId="8" borderId="19" xfId="0" applyNumberFormat="1" applyFill="1" applyBorder="1" applyAlignment="1">
      <alignment horizontal="center" vertical="center"/>
    </xf>
    <xf numFmtId="37" fontId="0" fillId="2" borderId="19" xfId="0" applyNumberFormat="1" applyFill="1" applyBorder="1" applyAlignment="1">
      <alignment horizontal="center" vertical="center"/>
    </xf>
    <xf numFmtId="168" fontId="0" fillId="7" borderId="19" xfId="0" applyNumberFormat="1" applyFill="1" applyBorder="1" applyAlignment="1">
      <alignment horizontal="center" vertical="center"/>
    </xf>
    <xf numFmtId="165" fontId="0" fillId="7" borderId="19" xfId="0" applyNumberFormat="1" applyFill="1" applyBorder="1" applyAlignment="1">
      <alignment horizontal="center" vertical="center"/>
    </xf>
    <xf numFmtId="37" fontId="0" fillId="0" borderId="9" xfId="0" applyNumberFormat="1" applyBorder="1" applyAlignment="1">
      <alignment horizontal="left" vertical="center"/>
    </xf>
    <xf numFmtId="37" fontId="0" fillId="0" borderId="10" xfId="0" applyNumberFormat="1" applyBorder="1" applyAlignment="1">
      <alignment horizontal="left" vertical="center"/>
    </xf>
    <xf numFmtId="37" fontId="0" fillId="0" borderId="14" xfId="0" applyNumberFormat="1" applyBorder="1" applyAlignment="1">
      <alignment horizontal="center" vertical="center"/>
    </xf>
    <xf numFmtId="37" fontId="0" fillId="0" borderId="16" xfId="0" applyNumberFormat="1" applyBorder="1" applyAlignment="1">
      <alignment horizontal="center" vertical="center"/>
    </xf>
    <xf numFmtId="169" fontId="0" fillId="7" borderId="9" xfId="0" applyNumberFormat="1" applyFill="1" applyBorder="1" applyAlignment="1">
      <alignment horizontal="center" vertical="center"/>
    </xf>
    <xf numFmtId="169" fontId="0" fillId="7" borderId="10" xfId="0" applyNumberFormat="1" applyFill="1" applyBorder="1" applyAlignment="1">
      <alignment horizontal="center" vertical="center"/>
    </xf>
    <xf numFmtId="37" fontId="0" fillId="2" borderId="9" xfId="0" applyNumberFormat="1" applyFill="1" applyBorder="1" applyAlignment="1">
      <alignment horizontal="center" vertical="center" wrapText="1"/>
    </xf>
    <xf numFmtId="37" fontId="0" fillId="2" borderId="10" xfId="0" applyNumberFormat="1" applyFill="1" applyBorder="1" applyAlignment="1">
      <alignment horizontal="center" vertical="center" wrapText="1"/>
    </xf>
    <xf numFmtId="37" fontId="0" fillId="2" borderId="7" xfId="0" applyNumberFormat="1" applyFill="1" applyBorder="1" applyAlignment="1">
      <alignment horizontal="center" vertical="center"/>
    </xf>
    <xf numFmtId="37" fontId="0" fillId="2" borderId="8" xfId="0" applyNumberFormat="1" applyFill="1" applyBorder="1" applyAlignment="1">
      <alignment horizontal="center" vertical="center"/>
    </xf>
    <xf numFmtId="37" fontId="0" fillId="2" borderId="7" xfId="0" applyNumberFormat="1" applyFill="1" applyBorder="1" applyAlignment="1">
      <alignment horizontal="center" vertical="center" wrapText="1"/>
    </xf>
    <xf numFmtId="37" fontId="0" fillId="2" borderId="8" xfId="0" applyNumberFormat="1" applyFill="1" applyBorder="1" applyAlignment="1">
      <alignment horizontal="center" vertical="center" wrapText="1"/>
    </xf>
    <xf numFmtId="37" fontId="0" fillId="6" borderId="9" xfId="0" applyNumberFormat="1" applyFill="1" applyBorder="1" applyAlignment="1">
      <alignment horizontal="left" vertical="center"/>
    </xf>
    <xf numFmtId="37" fontId="0" fillId="6" borderId="10" xfId="0" applyNumberFormat="1" applyFill="1" applyBorder="1" applyAlignment="1">
      <alignment horizontal="left" vertical="center"/>
    </xf>
    <xf numFmtId="37" fontId="0" fillId="2" borderId="9" xfId="0" applyNumberFormat="1" applyFill="1" applyBorder="1" applyAlignment="1">
      <alignment horizontal="center" vertical="center"/>
    </xf>
    <xf numFmtId="37" fontId="0" fillId="2" borderId="11" xfId="0" applyNumberFormat="1" applyFill="1" applyBorder="1" applyAlignment="1">
      <alignment horizontal="center" vertical="center"/>
    </xf>
    <xf numFmtId="37" fontId="0" fillId="2" borderId="10" xfId="0" applyNumberFormat="1" applyFill="1" applyBorder="1" applyAlignment="1">
      <alignment horizontal="center" vertical="center"/>
    </xf>
    <xf numFmtId="37" fontId="0" fillId="2" borderId="9" xfId="0" applyNumberFormat="1" applyFill="1" applyBorder="1" applyAlignment="1">
      <alignment horizontal="left" vertical="center" wrapText="1"/>
    </xf>
    <xf numFmtId="37" fontId="0" fillId="2" borderId="10" xfId="0" applyNumberFormat="1" applyFill="1" applyBorder="1" applyAlignment="1">
      <alignment horizontal="left" vertical="center" wrapText="1"/>
    </xf>
    <xf numFmtId="37" fontId="0" fillId="3" borderId="9" xfId="0" applyNumberFormat="1" applyFill="1" applyBorder="1" applyAlignment="1">
      <alignment horizontal="left" vertical="center"/>
    </xf>
    <xf numFmtId="37" fontId="0" fillId="3" borderId="10" xfId="0" applyNumberFormat="1" applyFill="1" applyBorder="1" applyAlignment="1">
      <alignment horizontal="left" vertical="center"/>
    </xf>
    <xf numFmtId="170" fontId="0" fillId="0" borderId="9" xfId="0" applyNumberFormat="1" applyFill="1" applyBorder="1" applyAlignment="1">
      <alignment horizontal="center" vertical="center"/>
    </xf>
    <xf numFmtId="170" fontId="0" fillId="0" borderId="10" xfId="0" applyNumberFormat="1" applyFill="1" applyBorder="1" applyAlignment="1">
      <alignment horizontal="center" vertical="center"/>
    </xf>
    <xf numFmtId="165" fontId="0" fillId="3" borderId="9" xfId="0" applyNumberFormat="1" applyFill="1" applyBorder="1" applyAlignment="1">
      <alignment horizontal="left" vertical="center"/>
    </xf>
    <xf numFmtId="165" fontId="0" fillId="3" borderId="10" xfId="0" applyNumberFormat="1" applyFill="1" applyBorder="1" applyAlignment="1">
      <alignment horizontal="left" vertical="center"/>
    </xf>
    <xf numFmtId="167" fontId="0" fillId="0" borderId="9" xfId="0" applyNumberFormat="1" applyFill="1" applyBorder="1" applyAlignment="1">
      <alignment horizontal="center" vertical="center"/>
    </xf>
    <xf numFmtId="167" fontId="0" fillId="0" borderId="10" xfId="0" applyNumberFormat="1" applyFill="1" applyBorder="1" applyAlignment="1">
      <alignment horizontal="center" vertical="center"/>
    </xf>
    <xf numFmtId="165" fontId="0" fillId="2" borderId="9" xfId="0" applyNumberFormat="1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AB1D-C139-462A-98BA-ACDAFF7F9805}">
  <sheetPr>
    <pageSetUpPr fitToPage="1"/>
  </sheetPr>
  <dimension ref="A1:O67"/>
  <sheetViews>
    <sheetView showGridLines="0" tabSelected="1" zoomScaleNormal="100" workbookViewId="0">
      <selection activeCell="H5" sqref="H5"/>
    </sheetView>
  </sheetViews>
  <sheetFormatPr baseColWidth="10" defaultColWidth="11.81640625" defaultRowHeight="17.5" customHeight="1" x14ac:dyDescent="0.35"/>
  <cols>
    <col min="1" max="1" width="4.453125" style="1" customWidth="1"/>
    <col min="2" max="4" width="14" style="1" customWidth="1"/>
    <col min="5" max="5" width="14" style="27" customWidth="1"/>
    <col min="6" max="14" width="14" style="1" customWidth="1"/>
    <col min="15" max="16384" width="11.81640625" style="1"/>
  </cols>
  <sheetData>
    <row r="1" spans="1:9" s="56" customFormat="1" ht="17.5" customHeight="1" x14ac:dyDescent="0.35">
      <c r="A1" s="58"/>
      <c r="B1" s="58" t="s">
        <v>34</v>
      </c>
      <c r="C1" s="53"/>
      <c r="D1" s="53"/>
      <c r="E1" s="53"/>
      <c r="F1" s="53"/>
      <c r="G1" s="54"/>
      <c r="H1" s="53"/>
      <c r="I1" s="54"/>
    </row>
    <row r="2" spans="1:9" ht="17.5" customHeight="1" x14ac:dyDescent="0.35">
      <c r="B2" s="2"/>
      <c r="G2" s="2"/>
    </row>
    <row r="3" spans="1:9" ht="17.5" customHeight="1" x14ac:dyDescent="0.35">
      <c r="A3" s="4"/>
      <c r="B3" s="51"/>
      <c r="C3" s="28" t="s">
        <v>32</v>
      </c>
      <c r="G3" s="2"/>
    </row>
    <row r="4" spans="1:9" ht="17.5" customHeight="1" x14ac:dyDescent="0.35">
      <c r="A4" s="4"/>
      <c r="B4" s="52"/>
      <c r="C4" s="28" t="s">
        <v>33</v>
      </c>
      <c r="G4" s="2"/>
    </row>
    <row r="5" spans="1:9" s="2" customFormat="1" ht="17.5" customHeight="1" x14ac:dyDescent="0.35">
      <c r="B5" s="45"/>
      <c r="E5" s="3"/>
    </row>
    <row r="6" spans="1:9" s="56" customFormat="1" ht="17.5" customHeight="1" x14ac:dyDescent="0.35">
      <c r="A6" s="58"/>
      <c r="B6" s="58" t="s">
        <v>35</v>
      </c>
      <c r="C6" s="53"/>
      <c r="D6" s="53"/>
      <c r="E6" s="53"/>
      <c r="F6" s="53"/>
      <c r="G6" s="54"/>
      <c r="H6" s="53"/>
      <c r="I6" s="54"/>
    </row>
    <row r="7" spans="1:9" s="7" customFormat="1" ht="17.5" customHeight="1" x14ac:dyDescent="0.35">
      <c r="E7" s="8"/>
      <c r="G7" s="45"/>
    </row>
    <row r="8" spans="1:9" ht="17.5" customHeight="1" x14ac:dyDescent="0.35">
      <c r="B8" s="9" t="s">
        <v>36</v>
      </c>
      <c r="G8" s="2"/>
    </row>
    <row r="9" spans="1:9" ht="17.5" customHeight="1" x14ac:dyDescent="0.35">
      <c r="B9" s="9"/>
      <c r="G9" s="2"/>
    </row>
    <row r="10" spans="1:9" ht="35.15" customHeight="1" x14ac:dyDescent="0.35">
      <c r="B10" s="93" t="s">
        <v>37</v>
      </c>
      <c r="C10" s="94"/>
      <c r="D10" s="25" t="s">
        <v>38</v>
      </c>
      <c r="E10" s="25" t="s">
        <v>39</v>
      </c>
      <c r="F10" s="25" t="s">
        <v>40</v>
      </c>
      <c r="G10" s="25" t="s">
        <v>41</v>
      </c>
      <c r="H10" s="25" t="s">
        <v>43</v>
      </c>
      <c r="I10" s="65" t="s">
        <v>63</v>
      </c>
    </row>
    <row r="11" spans="1:9" ht="17.5" customHeight="1" x14ac:dyDescent="0.35">
      <c r="B11" s="95"/>
      <c r="C11" s="96"/>
      <c r="D11" s="5" t="s">
        <v>23</v>
      </c>
      <c r="E11" s="5" t="s">
        <v>0</v>
      </c>
      <c r="F11" s="5" t="s">
        <v>6</v>
      </c>
      <c r="G11" s="5" t="s">
        <v>42</v>
      </c>
      <c r="H11" s="5" t="s">
        <v>4</v>
      </c>
      <c r="I11" s="5" t="s">
        <v>23</v>
      </c>
    </row>
    <row r="12" spans="1:9" ht="17.5" customHeight="1" x14ac:dyDescent="0.35">
      <c r="B12" s="88" t="s">
        <v>27</v>
      </c>
      <c r="C12" s="89"/>
      <c r="D12" s="37">
        <v>5</v>
      </c>
      <c r="E12" s="33">
        <v>5</v>
      </c>
      <c r="F12" s="33">
        <v>5</v>
      </c>
      <c r="G12" s="37">
        <v>1</v>
      </c>
      <c r="H12" s="34">
        <f t="shared" ref="H12:H22" si="0">IF(E12=230,F12*D12*G12/Inv_efficiency,F12*D12*G12)</f>
        <v>25</v>
      </c>
      <c r="I12" s="34">
        <f>D12*F12</f>
        <v>25</v>
      </c>
    </row>
    <row r="13" spans="1:9" ht="17.5" customHeight="1" x14ac:dyDescent="0.35">
      <c r="B13" s="88" t="s">
        <v>17</v>
      </c>
      <c r="C13" s="89"/>
      <c r="D13" s="37">
        <v>1</v>
      </c>
      <c r="E13" s="33">
        <v>12</v>
      </c>
      <c r="F13" s="33"/>
      <c r="G13" s="37"/>
      <c r="H13" s="34">
        <f t="shared" si="0"/>
        <v>0</v>
      </c>
      <c r="I13" s="34">
        <f t="shared" ref="I13:I22" si="1">D13*F13</f>
        <v>0</v>
      </c>
    </row>
    <row r="14" spans="1:9" ht="17.5" customHeight="1" x14ac:dyDescent="0.35">
      <c r="B14" s="88" t="s">
        <v>18</v>
      </c>
      <c r="C14" s="89"/>
      <c r="D14" s="37">
        <v>3</v>
      </c>
      <c r="E14" s="33">
        <v>12</v>
      </c>
      <c r="F14" s="33">
        <v>4</v>
      </c>
      <c r="G14" s="37">
        <v>7</v>
      </c>
      <c r="H14" s="34">
        <f t="shared" si="0"/>
        <v>84</v>
      </c>
      <c r="I14" s="34">
        <f t="shared" si="1"/>
        <v>12</v>
      </c>
    </row>
    <row r="15" spans="1:9" ht="17.5" customHeight="1" x14ac:dyDescent="0.35">
      <c r="B15" s="35" t="s">
        <v>21</v>
      </c>
      <c r="C15" s="36"/>
      <c r="D15" s="37">
        <v>25</v>
      </c>
      <c r="E15" s="33">
        <v>12</v>
      </c>
      <c r="F15" s="33"/>
      <c r="G15" s="37"/>
      <c r="H15" s="34">
        <f t="shared" si="0"/>
        <v>0</v>
      </c>
      <c r="I15" s="34">
        <f t="shared" si="1"/>
        <v>0</v>
      </c>
    </row>
    <row r="16" spans="1:9" ht="17.5" customHeight="1" x14ac:dyDescent="0.35">
      <c r="B16" s="35" t="s">
        <v>22</v>
      </c>
      <c r="C16" s="36"/>
      <c r="D16" s="37">
        <v>35</v>
      </c>
      <c r="E16" s="33">
        <v>12</v>
      </c>
      <c r="F16" s="33">
        <v>1</v>
      </c>
      <c r="G16" s="37">
        <v>3</v>
      </c>
      <c r="H16" s="34">
        <f t="shared" si="0"/>
        <v>105</v>
      </c>
      <c r="I16" s="34">
        <f t="shared" si="1"/>
        <v>35</v>
      </c>
    </row>
    <row r="17" spans="1:10" ht="17.5" customHeight="1" x14ac:dyDescent="0.35">
      <c r="B17" s="35" t="s">
        <v>19</v>
      </c>
      <c r="C17" s="36"/>
      <c r="D17" s="37">
        <v>10</v>
      </c>
      <c r="E17" s="33">
        <v>12</v>
      </c>
      <c r="F17" s="33"/>
      <c r="G17" s="37"/>
      <c r="H17" s="34">
        <f t="shared" si="0"/>
        <v>0</v>
      </c>
      <c r="I17" s="34">
        <f t="shared" si="1"/>
        <v>0</v>
      </c>
    </row>
    <row r="18" spans="1:10" ht="17.5" customHeight="1" x14ac:dyDescent="0.35">
      <c r="B18" s="35" t="s">
        <v>20</v>
      </c>
      <c r="C18" s="36"/>
      <c r="D18" s="37">
        <v>5</v>
      </c>
      <c r="E18" s="33">
        <v>12</v>
      </c>
      <c r="F18" s="33"/>
      <c r="G18" s="37"/>
      <c r="H18" s="34">
        <f t="shared" si="0"/>
        <v>0</v>
      </c>
      <c r="I18" s="34">
        <f t="shared" si="1"/>
        <v>0</v>
      </c>
    </row>
    <row r="19" spans="1:10" ht="17.5" customHeight="1" x14ac:dyDescent="0.35">
      <c r="B19" s="35" t="s">
        <v>31</v>
      </c>
      <c r="C19" s="36"/>
      <c r="D19" s="37">
        <v>40</v>
      </c>
      <c r="E19" s="33">
        <v>12</v>
      </c>
      <c r="F19" s="33">
        <v>1</v>
      </c>
      <c r="G19" s="37">
        <v>13</v>
      </c>
      <c r="H19" s="34">
        <f t="shared" si="0"/>
        <v>520</v>
      </c>
      <c r="I19" s="34">
        <f t="shared" si="1"/>
        <v>40</v>
      </c>
    </row>
    <row r="20" spans="1:10" ht="17.5" customHeight="1" x14ac:dyDescent="0.35">
      <c r="B20" s="35" t="s">
        <v>26</v>
      </c>
      <c r="C20" s="36"/>
      <c r="D20" s="37">
        <v>10</v>
      </c>
      <c r="E20" s="33">
        <v>12</v>
      </c>
      <c r="F20" s="33"/>
      <c r="G20" s="37"/>
      <c r="H20" s="34">
        <f t="shared" si="0"/>
        <v>0</v>
      </c>
      <c r="I20" s="34">
        <f t="shared" si="1"/>
        <v>0</v>
      </c>
    </row>
    <row r="21" spans="1:10" ht="17.5" customHeight="1" x14ac:dyDescent="0.35">
      <c r="B21" s="35"/>
      <c r="C21" s="36"/>
      <c r="D21" s="37"/>
      <c r="E21" s="33"/>
      <c r="F21" s="33"/>
      <c r="G21" s="37"/>
      <c r="H21" s="34">
        <f t="shared" si="0"/>
        <v>0</v>
      </c>
      <c r="I21" s="34">
        <f t="shared" si="1"/>
        <v>0</v>
      </c>
    </row>
    <row r="22" spans="1:10" ht="17.5" customHeight="1" x14ac:dyDescent="0.35">
      <c r="B22" s="88"/>
      <c r="C22" s="89"/>
      <c r="D22" s="37"/>
      <c r="E22" s="33"/>
      <c r="F22" s="33"/>
      <c r="G22" s="37"/>
      <c r="H22" s="34">
        <f t="shared" si="0"/>
        <v>0</v>
      </c>
      <c r="I22" s="34">
        <f t="shared" si="1"/>
        <v>0</v>
      </c>
    </row>
    <row r="23" spans="1:10" ht="17.5" customHeight="1" x14ac:dyDescent="0.35">
      <c r="B23" s="42" t="s">
        <v>24</v>
      </c>
      <c r="C23" s="43"/>
      <c r="D23" s="43"/>
      <c r="E23" s="43"/>
      <c r="F23" s="43"/>
      <c r="G23" s="44"/>
      <c r="H23" s="38">
        <f>SUM(H12:H22)</f>
        <v>734</v>
      </c>
      <c r="I23" s="38">
        <f>SUM(I12:I22)</f>
        <v>112</v>
      </c>
    </row>
    <row r="24" spans="1:10" ht="17.5" customHeight="1" x14ac:dyDescent="0.35">
      <c r="B24" s="2"/>
      <c r="C24" s="2"/>
      <c r="D24" s="2"/>
      <c r="E24" s="3"/>
      <c r="F24" s="2"/>
      <c r="I24" s="7"/>
      <c r="J24" s="7"/>
    </row>
    <row r="25" spans="1:10" ht="17.5" customHeight="1" x14ac:dyDescent="0.35">
      <c r="A25" s="4"/>
      <c r="B25" s="9" t="s">
        <v>44</v>
      </c>
      <c r="C25" s="39"/>
      <c r="D25" s="39"/>
      <c r="E25" s="26"/>
      <c r="F25" s="39"/>
      <c r="G25" s="59"/>
      <c r="I25" s="7"/>
      <c r="J25" s="7"/>
    </row>
    <row r="26" spans="1:10" ht="17.5" customHeight="1" x14ac:dyDescent="0.35">
      <c r="A26" s="4"/>
      <c r="B26" s="39"/>
      <c r="C26" s="39"/>
      <c r="D26" s="39"/>
      <c r="E26" s="26"/>
      <c r="F26" s="63" t="s">
        <v>49</v>
      </c>
      <c r="G26" s="63" t="s">
        <v>50</v>
      </c>
      <c r="H26" s="28"/>
      <c r="I26" s="7"/>
      <c r="J26" s="7"/>
    </row>
    <row r="27" spans="1:10" ht="17.5" customHeight="1" x14ac:dyDescent="0.35">
      <c r="A27" s="4"/>
      <c r="B27" s="14" t="s">
        <v>1</v>
      </c>
      <c r="C27" s="15"/>
      <c r="D27" s="31"/>
      <c r="E27" s="13" t="s">
        <v>48</v>
      </c>
      <c r="F27" s="60">
        <v>5000</v>
      </c>
      <c r="G27" s="61" t="s">
        <v>51</v>
      </c>
    </row>
    <row r="28" spans="1:10" ht="17.5" customHeight="1" x14ac:dyDescent="0.35">
      <c r="A28" s="4"/>
      <c r="B28" s="14" t="s">
        <v>45</v>
      </c>
      <c r="C28" s="15"/>
      <c r="D28" s="31"/>
      <c r="E28" s="13" t="s">
        <v>2</v>
      </c>
      <c r="F28" s="40">
        <v>0.8</v>
      </c>
      <c r="G28" s="62">
        <v>0.8</v>
      </c>
    </row>
    <row r="29" spans="1:10" ht="17.5" customHeight="1" x14ac:dyDescent="0.35">
      <c r="A29" s="4"/>
      <c r="B29" s="14" t="s">
        <v>46</v>
      </c>
      <c r="C29" s="15"/>
      <c r="D29" s="31"/>
      <c r="E29" s="13" t="s">
        <v>2</v>
      </c>
      <c r="F29" s="40">
        <v>0.5</v>
      </c>
      <c r="G29" s="61" t="s">
        <v>52</v>
      </c>
    </row>
    <row r="30" spans="1:10" ht="17.5" customHeight="1" x14ac:dyDescent="0.35">
      <c r="A30" s="4"/>
      <c r="B30" s="14" t="s">
        <v>47</v>
      </c>
      <c r="C30" s="15"/>
      <c r="D30" s="31"/>
      <c r="E30" s="13" t="s">
        <v>2</v>
      </c>
      <c r="F30" s="40">
        <v>0.15</v>
      </c>
      <c r="G30" s="62" t="s">
        <v>53</v>
      </c>
    </row>
    <row r="31" spans="1:10" s="2" customFormat="1" ht="17.5" customHeight="1" x14ac:dyDescent="0.35">
      <c r="B31" s="57"/>
      <c r="C31" s="39"/>
      <c r="D31" s="39"/>
      <c r="E31" s="39"/>
    </row>
    <row r="32" spans="1:10" s="56" customFormat="1" ht="17.5" customHeight="1" x14ac:dyDescent="0.35">
      <c r="A32" s="58"/>
      <c r="B32" s="58" t="s">
        <v>54</v>
      </c>
      <c r="C32" s="53"/>
      <c r="D32" s="53"/>
      <c r="E32" s="53"/>
      <c r="F32" s="53"/>
      <c r="G32" s="54" t="s">
        <v>54</v>
      </c>
      <c r="H32" s="53"/>
      <c r="I32" s="54"/>
    </row>
    <row r="33" spans="1:15" s="45" customFormat="1" ht="17.5" customHeight="1" x14ac:dyDescent="0.35">
      <c r="A33" s="47"/>
      <c r="B33" s="47"/>
      <c r="C33" s="47"/>
      <c r="D33" s="47"/>
      <c r="E33" s="47"/>
      <c r="F33" s="47"/>
      <c r="G33" s="48"/>
      <c r="H33" s="47"/>
      <c r="I33" s="48"/>
    </row>
    <row r="34" spans="1:15" ht="17.5" customHeight="1" x14ac:dyDescent="0.35">
      <c r="B34" s="46" t="s">
        <v>55</v>
      </c>
      <c r="C34" s="39"/>
      <c r="D34" s="39"/>
      <c r="E34" s="26"/>
      <c r="F34" s="39"/>
      <c r="G34" s="39"/>
      <c r="H34" s="39"/>
      <c r="I34" s="39"/>
    </row>
    <row r="35" spans="1:15" ht="17.5" customHeight="1" x14ac:dyDescent="0.35">
      <c r="B35" s="39"/>
      <c r="C35" s="39"/>
      <c r="D35" s="39"/>
      <c r="E35" s="26"/>
      <c r="F35" s="39"/>
      <c r="G35" s="39"/>
      <c r="H35" s="39"/>
      <c r="I35" s="39"/>
    </row>
    <row r="36" spans="1:15" ht="17.5" customHeight="1" x14ac:dyDescent="0.35">
      <c r="A36" s="4"/>
      <c r="D36" s="103" t="s">
        <v>8</v>
      </c>
      <c r="E36" s="104"/>
    </row>
    <row r="37" spans="1:15" ht="17.5" customHeight="1" x14ac:dyDescent="0.35">
      <c r="A37" s="4"/>
      <c r="B37" s="78"/>
      <c r="C37" s="79"/>
      <c r="D37" s="80">
        <f>E59</f>
        <v>0</v>
      </c>
      <c r="E37" s="81"/>
    </row>
    <row r="38" spans="1:15" ht="17.5" customHeight="1" x14ac:dyDescent="0.35">
      <c r="B38" s="99" t="s">
        <v>56</v>
      </c>
      <c r="C38" s="100"/>
      <c r="D38" s="97">
        <f>IF(D37=1,"n/a",VLOOKUP(E$60,$B$46:$C$49,2,FALSE))</f>
        <v>200</v>
      </c>
      <c r="E38" s="98"/>
    </row>
    <row r="39" spans="1:15" ht="17.5" customHeight="1" x14ac:dyDescent="0.35">
      <c r="B39" s="49" t="s">
        <v>57</v>
      </c>
      <c r="C39" s="50"/>
      <c r="D39" s="101">
        <f>IF(D37=1,"n/a",VLOOKUP(E$60,$B$46:$F$49,5,FALSE))</f>
        <v>120</v>
      </c>
      <c r="E39" s="102"/>
    </row>
    <row r="40" spans="1:15" s="2" customFormat="1" ht="17.5" customHeight="1" x14ac:dyDescent="0.35">
      <c r="A40" s="47"/>
      <c r="B40" s="47"/>
      <c r="C40" s="47"/>
      <c r="D40" s="47"/>
      <c r="E40" s="47"/>
      <c r="F40" s="47"/>
      <c r="G40" s="48"/>
      <c r="H40" s="47"/>
      <c r="I40" s="48"/>
    </row>
    <row r="41" spans="1:15" s="56" customFormat="1" ht="17.5" customHeight="1" x14ac:dyDescent="0.35">
      <c r="A41" s="55"/>
      <c r="B41" s="58" t="s">
        <v>80</v>
      </c>
      <c r="C41" s="53"/>
      <c r="D41" s="53"/>
      <c r="E41" s="53"/>
      <c r="F41" s="53"/>
      <c r="G41" s="54"/>
      <c r="H41" s="53"/>
      <c r="I41" s="54"/>
    </row>
    <row r="42" spans="1:15" s="7" customFormat="1" ht="17.5" customHeight="1" x14ac:dyDescent="0.35">
      <c r="A42" s="47"/>
      <c r="B42" s="47"/>
      <c r="C42" s="47"/>
      <c r="D42" s="47"/>
      <c r="E42" s="47"/>
      <c r="F42" s="47"/>
      <c r="G42" s="48"/>
      <c r="H42" s="47"/>
      <c r="I42" s="48"/>
    </row>
    <row r="43" spans="1:15" s="12" customFormat="1" ht="17.5" customHeight="1" x14ac:dyDescent="0.35">
      <c r="A43" s="11"/>
      <c r="B43" s="84" t="s">
        <v>25</v>
      </c>
      <c r="C43" s="86" t="s">
        <v>56</v>
      </c>
      <c r="D43" s="86" t="s">
        <v>58</v>
      </c>
      <c r="E43" s="86" t="s">
        <v>59</v>
      </c>
      <c r="F43" s="82" t="s">
        <v>81</v>
      </c>
      <c r="G43" s="83"/>
      <c r="H43" s="17"/>
      <c r="I43" s="20"/>
      <c r="J43" s="16" t="s">
        <v>79</v>
      </c>
    </row>
    <row r="44" spans="1:15" s="12" customFormat="1" ht="17.5" customHeight="1" x14ac:dyDescent="0.35">
      <c r="A44" s="11"/>
      <c r="B44" s="85"/>
      <c r="C44" s="87"/>
      <c r="D44" s="87"/>
      <c r="E44" s="87"/>
      <c r="F44" s="10" t="s">
        <v>60</v>
      </c>
      <c r="G44" s="10" t="s">
        <v>61</v>
      </c>
      <c r="H44" s="18"/>
      <c r="I44" s="21"/>
      <c r="J44" s="23"/>
      <c r="K44" s="23"/>
      <c r="L44" s="23"/>
      <c r="M44" s="23"/>
      <c r="N44" s="23"/>
      <c r="O44" s="23"/>
    </row>
    <row r="45" spans="1:15" ht="17.5" customHeight="1" x14ac:dyDescent="0.35">
      <c r="A45" s="4"/>
      <c r="B45" s="5" t="s">
        <v>6</v>
      </c>
      <c r="C45" s="5" t="s">
        <v>5</v>
      </c>
      <c r="D45" s="5" t="s">
        <v>4</v>
      </c>
      <c r="E45" s="5" t="s">
        <v>0</v>
      </c>
      <c r="F45" s="5" t="s">
        <v>7</v>
      </c>
      <c r="G45" s="5" t="s">
        <v>3</v>
      </c>
      <c r="H45" s="19"/>
      <c r="I45" s="22"/>
      <c r="J45" s="86" t="s">
        <v>73</v>
      </c>
      <c r="K45" s="90" t="s">
        <v>72</v>
      </c>
      <c r="L45" s="91"/>
      <c r="M45" s="91"/>
      <c r="N45" s="92"/>
    </row>
    <row r="46" spans="1:15" ht="17.5" customHeight="1" x14ac:dyDescent="0.35">
      <c r="A46" s="4"/>
      <c r="B46" s="5" t="s">
        <v>9</v>
      </c>
      <c r="C46" s="6">
        <v>50</v>
      </c>
      <c r="D46" s="6">
        <f>C46*$F$27*$F$28/1000</f>
        <v>200</v>
      </c>
      <c r="E46" s="5">
        <v>12</v>
      </c>
      <c r="F46" s="6">
        <f>ROUNDUP(C46/E46/10/$F$30,0)*10</f>
        <v>30</v>
      </c>
      <c r="G46" s="6">
        <f>F46*E46*$F$29</f>
        <v>180</v>
      </c>
      <c r="H46" s="19"/>
      <c r="I46" s="22"/>
      <c r="J46" s="87"/>
      <c r="K46" s="24" t="s">
        <v>75</v>
      </c>
      <c r="L46" s="24" t="s">
        <v>76</v>
      </c>
      <c r="M46" s="24" t="s">
        <v>77</v>
      </c>
      <c r="N46" s="24" t="s">
        <v>78</v>
      </c>
    </row>
    <row r="47" spans="1:15" ht="17.5" customHeight="1" x14ac:dyDescent="0.35">
      <c r="A47" s="4"/>
      <c r="B47" s="5" t="s">
        <v>10</v>
      </c>
      <c r="C47" s="6">
        <v>100</v>
      </c>
      <c r="D47" s="6">
        <f>C47*$F$27*$F$28/1000</f>
        <v>400</v>
      </c>
      <c r="E47" s="5">
        <v>12</v>
      </c>
      <c r="F47" s="6">
        <f>ROUNDUP(C47/E47/10/$F$30,0)*10</f>
        <v>60</v>
      </c>
      <c r="G47" s="6">
        <f>F47*E47*$F$29</f>
        <v>360</v>
      </c>
      <c r="H47" s="19"/>
      <c r="I47" s="22"/>
      <c r="J47" s="29" t="s">
        <v>74</v>
      </c>
      <c r="K47" s="6" t="s">
        <v>13</v>
      </c>
      <c r="L47" s="6" t="s">
        <v>15</v>
      </c>
      <c r="M47" s="6" t="s">
        <v>14</v>
      </c>
      <c r="N47" s="6">
        <v>1</v>
      </c>
    </row>
    <row r="48" spans="1:15" ht="17.5" customHeight="1" x14ac:dyDescent="0.35">
      <c r="A48" s="4"/>
      <c r="B48" s="5" t="s">
        <v>11</v>
      </c>
      <c r="C48" s="6">
        <v>150</v>
      </c>
      <c r="D48" s="6">
        <f>C48*$F$27*$F$28/1000</f>
        <v>600</v>
      </c>
      <c r="E48" s="5">
        <v>12</v>
      </c>
      <c r="F48" s="6">
        <f>ROUNDUP(C48/E48/10/$F$30,0)*10</f>
        <v>90</v>
      </c>
      <c r="G48" s="6">
        <f>F48*E48*$F$29</f>
        <v>540</v>
      </c>
      <c r="H48" s="19"/>
      <c r="I48" s="22"/>
      <c r="J48" s="30" t="s">
        <v>71</v>
      </c>
    </row>
    <row r="49" spans="1:11" ht="17.5" customHeight="1" x14ac:dyDescent="0.35">
      <c r="A49" s="4"/>
      <c r="B49" s="5" t="s">
        <v>12</v>
      </c>
      <c r="C49" s="6">
        <v>200</v>
      </c>
      <c r="D49" s="6">
        <f>C49*$F$27*$F$28/1000</f>
        <v>800</v>
      </c>
      <c r="E49" s="5">
        <v>12</v>
      </c>
      <c r="F49" s="6">
        <f>ROUNDUP(C49/E49/10/$F$30,0)*10</f>
        <v>120</v>
      </c>
      <c r="G49" s="6">
        <f>F49*E49*$F$29</f>
        <v>720</v>
      </c>
      <c r="H49" s="19"/>
      <c r="I49" s="22"/>
    </row>
    <row r="51" spans="1:11" ht="17.5" customHeight="1" x14ac:dyDescent="0.35">
      <c r="A51" s="2"/>
      <c r="B51" s="9" t="s">
        <v>28</v>
      </c>
      <c r="C51" s="2"/>
      <c r="D51" s="2"/>
      <c r="E51" s="3"/>
    </row>
    <row r="52" spans="1:11" ht="17.5" customHeight="1" x14ac:dyDescent="0.35">
      <c r="B52" s="7"/>
      <c r="C52" s="7"/>
      <c r="D52" s="4"/>
      <c r="E52" s="73" t="s">
        <v>8</v>
      </c>
      <c r="F52" s="28"/>
    </row>
    <row r="53" spans="1:11" ht="17.5" customHeight="1" x14ac:dyDescent="0.35">
      <c r="A53" s="4"/>
      <c r="B53" s="76" t="s">
        <v>62</v>
      </c>
      <c r="C53" s="77"/>
      <c r="D53" s="66" t="s">
        <v>23</v>
      </c>
      <c r="E53" s="69">
        <f>10*5+2*3*12+2*5*12+10*12</f>
        <v>362</v>
      </c>
      <c r="F53" s="28"/>
    </row>
    <row r="54" spans="1:11" ht="17.5" customHeight="1" x14ac:dyDescent="0.35">
      <c r="A54" s="4"/>
      <c r="B54" s="76" t="s">
        <v>63</v>
      </c>
      <c r="C54" s="77"/>
      <c r="D54" s="66" t="s">
        <v>23</v>
      </c>
      <c r="E54" s="70">
        <f>Max_DC</f>
        <v>112</v>
      </c>
      <c r="F54" s="28"/>
    </row>
    <row r="55" spans="1:11" ht="17.5" customHeight="1" x14ac:dyDescent="0.35">
      <c r="A55" s="4"/>
      <c r="B55" s="76" t="s">
        <v>64</v>
      </c>
      <c r="C55" s="77"/>
      <c r="D55" s="66" t="s">
        <v>4</v>
      </c>
      <c r="E55" s="71">
        <f>$D$49</f>
        <v>800</v>
      </c>
      <c r="F55" s="28"/>
    </row>
    <row r="56" spans="1:11" ht="17.5" customHeight="1" x14ac:dyDescent="0.35">
      <c r="A56" s="4"/>
      <c r="B56" s="76" t="s">
        <v>65</v>
      </c>
      <c r="C56" s="77"/>
      <c r="D56" s="66" t="s">
        <v>4</v>
      </c>
      <c r="E56" s="71">
        <f t="shared" ref="E56" si="2">daily_conso</f>
        <v>734</v>
      </c>
      <c r="F56" s="28"/>
      <c r="K56" s="28"/>
    </row>
    <row r="57" spans="1:11" ht="17.5" customHeight="1" x14ac:dyDescent="0.35">
      <c r="A57" s="4"/>
      <c r="B57" s="76" t="s">
        <v>66</v>
      </c>
      <c r="C57" s="77"/>
      <c r="D57" s="66" t="s">
        <v>29</v>
      </c>
      <c r="E57" s="72">
        <f>IF(E53&gt;=E54,0,1)</f>
        <v>0</v>
      </c>
      <c r="F57" s="28"/>
    </row>
    <row r="58" spans="1:11" ht="17.5" customHeight="1" x14ac:dyDescent="0.35">
      <c r="A58" s="4"/>
      <c r="B58" s="76" t="s">
        <v>67</v>
      </c>
      <c r="C58" s="77"/>
      <c r="D58" s="66" t="s">
        <v>29</v>
      </c>
      <c r="E58" s="72">
        <f>IF(E55&gt;=E56,0,1)</f>
        <v>0</v>
      </c>
      <c r="F58" s="28"/>
    </row>
    <row r="59" spans="1:11" ht="17.5" customHeight="1" x14ac:dyDescent="0.35">
      <c r="A59" s="4"/>
      <c r="B59" s="76" t="s">
        <v>68</v>
      </c>
      <c r="C59" s="77"/>
      <c r="D59" s="66" t="s">
        <v>29</v>
      </c>
      <c r="E59" s="74">
        <f>IF(SUM(E57:F58)&gt;=1,1,0)</f>
        <v>0</v>
      </c>
      <c r="F59" s="28"/>
    </row>
    <row r="60" spans="1:11" s="2" customFormat="1" ht="17.5" customHeight="1" x14ac:dyDescent="0.35">
      <c r="A60" s="64"/>
      <c r="B60" s="76" t="s">
        <v>69</v>
      </c>
      <c r="C60" s="77"/>
      <c r="D60" s="67" t="s">
        <v>30</v>
      </c>
      <c r="E60" s="75" t="str">
        <f>IF(D37=1,"n/a",IF(daily_conso&gt;D48,B49,IF(daily_conso&gt;D47,B48,IF(daily_conso&gt;D46,B47,B46))))</f>
        <v>SHS 200 #4</v>
      </c>
      <c r="F60" s="28"/>
      <c r="G60" s="1"/>
      <c r="H60" s="1"/>
      <c r="I60" s="1"/>
      <c r="J60" s="1"/>
    </row>
    <row r="61" spans="1:11" s="2" customFormat="1" ht="17.5" customHeight="1" x14ac:dyDescent="0.35">
      <c r="B61" s="45"/>
      <c r="C61" s="45"/>
      <c r="E61" s="68"/>
    </row>
    <row r="62" spans="1:11" s="56" customFormat="1" ht="17.5" customHeight="1" x14ac:dyDescent="0.35">
      <c r="A62" s="55"/>
      <c r="B62" s="58" t="s">
        <v>70</v>
      </c>
      <c r="C62" s="53"/>
      <c r="D62" s="53"/>
      <c r="E62" s="53"/>
      <c r="F62" s="53"/>
      <c r="G62" s="54"/>
      <c r="H62" s="53"/>
      <c r="I62" s="54"/>
    </row>
    <row r="63" spans="1:11" s="7" customFormat="1" ht="17.5" customHeight="1" x14ac:dyDescent="0.35">
      <c r="B63" s="39"/>
      <c r="E63" s="8"/>
    </row>
    <row r="64" spans="1:11" ht="17.5" customHeight="1" x14ac:dyDescent="0.35">
      <c r="B64" s="32" t="s">
        <v>16</v>
      </c>
      <c r="D64" s="27"/>
    </row>
    <row r="65" spans="2:4" ht="17.5" customHeight="1" x14ac:dyDescent="0.35">
      <c r="B65" s="41">
        <v>5</v>
      </c>
      <c r="D65" s="27"/>
    </row>
    <row r="66" spans="2:4" ht="17.5" customHeight="1" x14ac:dyDescent="0.35">
      <c r="B66" s="41">
        <v>12</v>
      </c>
      <c r="D66" s="27"/>
    </row>
    <row r="67" spans="2:4" ht="17.5" customHeight="1" x14ac:dyDescent="0.35">
      <c r="D67" s="27"/>
    </row>
  </sheetData>
  <mergeCells count="27">
    <mergeCell ref="B10:C10"/>
    <mergeCell ref="B11:C11"/>
    <mergeCell ref="D38:E38"/>
    <mergeCell ref="B38:C38"/>
    <mergeCell ref="D39:E39"/>
    <mergeCell ref="D36:E36"/>
    <mergeCell ref="B12:C12"/>
    <mergeCell ref="B14:C14"/>
    <mergeCell ref="B13:C13"/>
    <mergeCell ref="B22:C22"/>
    <mergeCell ref="B60:C60"/>
    <mergeCell ref="J45:J46"/>
    <mergeCell ref="K45:N45"/>
    <mergeCell ref="B37:C37"/>
    <mergeCell ref="B53:C53"/>
    <mergeCell ref="B54:C54"/>
    <mergeCell ref="D37:E37"/>
    <mergeCell ref="F43:G43"/>
    <mergeCell ref="B43:B44"/>
    <mergeCell ref="C43:C44"/>
    <mergeCell ref="D43:D44"/>
    <mergeCell ref="E43:E44"/>
    <mergeCell ref="B55:C55"/>
    <mergeCell ref="B56:C56"/>
    <mergeCell ref="B57:C57"/>
    <mergeCell ref="B58:C58"/>
    <mergeCell ref="B59:C59"/>
  </mergeCells>
  <phoneticPr fontId="4" type="noConversion"/>
  <dataValidations disablePrompts="1" count="1">
    <dataValidation type="list" allowBlank="1" showInputMessage="1" showErrorMessage="1" sqref="E12:E22" xr:uid="{56FC9BE0-5843-44D1-8968-DA9BFF81A0EA}">
      <formula1>Voltage</formula1>
    </dataValidation>
  </dataValidations>
  <pageMargins left="0.70866141732283472" right="0.70866141732283472" top="0.59055118110236227" bottom="0.59055118110236227" header="0.31496062992125984" footer="0.31496062992125984"/>
  <pageSetup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8</vt:i4>
      </vt:variant>
    </vt:vector>
  </HeadingPairs>
  <TitlesOfParts>
    <vt:vector size="9" baseType="lpstr">
      <vt:lpstr>Sizing</vt:lpstr>
      <vt:lpstr>Bat_ratio</vt:lpstr>
      <vt:lpstr>daily_conso</vt:lpstr>
      <vt:lpstr>Efficiency</vt:lpstr>
      <vt:lpstr>Irradiation</vt:lpstr>
      <vt:lpstr>Max_AC</vt:lpstr>
      <vt:lpstr>Max_DC</vt:lpstr>
      <vt:lpstr>Max_DoD</vt:lpstr>
      <vt:lpstr>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Propriétaire</dc:creator>
  <cp:lastModifiedBy>Yoann Le Fol</cp:lastModifiedBy>
  <cp:lastPrinted>2021-02-01T10:55:30Z</cp:lastPrinted>
  <dcterms:created xsi:type="dcterms:W3CDTF">2020-11-24T10:58:31Z</dcterms:created>
  <dcterms:modified xsi:type="dcterms:W3CDTF">2021-10-25T10:39:33Z</dcterms:modified>
</cp:coreProperties>
</file>